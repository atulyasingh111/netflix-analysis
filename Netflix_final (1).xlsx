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tulyasingh/Library/Containers/net.whatsapp.WhatsApp/Data/tmp/documents/2CEC7A9E-C7D4-4A62-910F-40B309FF9A90/"/>
    </mc:Choice>
  </mc:AlternateContent>
  <xr:revisionPtr revIDLastSave="0" documentId="8_{4CAA3748-5D37-8246-818E-6BA106CF87EA}" xr6:coauthVersionLast="47" xr6:coauthVersionMax="47" xr10:uidLastSave="{00000000-0000-0000-0000-000000000000}"/>
  <bookViews>
    <workbookView xWindow="0" yWindow="760" windowWidth="23260" windowHeight="12460" xr2:uid="{00000000-000D-0000-FFFF-FFFF00000000}"/>
  </bookViews>
  <sheets>
    <sheet name="Dashboard" sheetId="7" r:id="rId1"/>
    <sheet name="Annual KPIs" sheetId="2" r:id="rId2"/>
    <sheet name="Regional Breakdown" sheetId="4" r:id="rId3"/>
    <sheet name="Quarterly Totals" sheetId="3" r:id="rId4"/>
    <sheet name="Dataset" sheetId="11" r:id="rId5"/>
    <sheet name="Raw Data" sheetId="1" r:id="rId6"/>
  </sheets>
  <definedNames>
    <definedName name="_xlcn.WorksheetConnection_Netflix_Data_For_Dashboard.xlsxTable11" hidden="1">Table1[]</definedName>
    <definedName name="_xlcn.WorksheetConnection_Netflix_Data_For_Dashboard.xlsxTable21" hidden="1">Table2[]</definedName>
    <definedName name="NF_APAC_Rev">'Regional Breakdown'!$E$5:$E$10</definedName>
    <definedName name="NF_APAC_Subs">'Regional Breakdown'!$I$5:$I$10</definedName>
    <definedName name="NF_Content_Cost">'Annual KPIs'!$F$5:$F$10</definedName>
    <definedName name="NF_EMEA_Rev">'Regional Breakdown'!$C$5:$C$10</definedName>
    <definedName name="NF_EMEA_Subs">'Regional Breakdown'!$G$5:$G$10</definedName>
    <definedName name="NF_LATAM_Rev">'Regional Breakdown'!$D$5:$D$10</definedName>
    <definedName name="NF_LATAM_Subs">'Regional Breakdown'!$H$5:$H$10</definedName>
    <definedName name="NF_Net_Profit">'Annual KPIs'!$D$5:$D$10</definedName>
    <definedName name="NF_Op_Income">'Annual KPIs'!$E$5:$E$10</definedName>
    <definedName name="NF_Op_Margin">'Annual KPIs'!$G$5:$G$10</definedName>
    <definedName name="NF_Qtr_Margin">'Quarterly Totals'!$I$5:$I$28</definedName>
    <definedName name="NF_Qtr_OI">'Quarterly Totals'!$G$5:$G$28</definedName>
    <definedName name="NF_Qtr_Profit">'Quarterly Totals'!$F$5:$F$28</definedName>
    <definedName name="NF_Qtr_Rev">'Quarterly Totals'!$D$5:$D$28</definedName>
    <definedName name="NF_Qtr_Subs">'Quarterly Totals'!$E$5:$E$28</definedName>
    <definedName name="NF_Qtrs">'Quarterly Totals'!$C$5:$C$28</definedName>
    <definedName name="NF_Reg_Years">'Regional Breakdown'!$A$5:$A$10</definedName>
    <definedName name="NF_Rev_Growth">'Annual KPIs'!$H$5:$H$10</definedName>
    <definedName name="NF_Total_Rev">'Annual KPIs'!$B$5:$B$10</definedName>
    <definedName name="NF_Total_Subs">'Annual KPIs'!$C$5:$C$10</definedName>
    <definedName name="NF_UCAN_Rev">'Regional Breakdown'!$B$5:$B$10</definedName>
    <definedName name="NF_UCAN_Subs">'Regional Breakdown'!$F$5:$F$10</definedName>
    <definedName name="NF_Years">'Annual KPIs'!$A$5:$A$10</definedName>
    <definedName name="Slicer_Quarter">#N/A</definedName>
    <definedName name="Slicer_Year">#N/A</definedName>
  </definedNames>
  <calcPr calcId="191028"/>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Netflix_Data_For_Dashboard.xlsx!Table2"/>
          <x15:modelTable id="Table1" name="Table1" connection="WorksheetConnection_Netflix_Data_For_Dashboard.xlsx!Table1"/>
        </x15:modelTables>
        <x15:modelRelationships>
          <x15:modelRelationship fromTable="Table1" fromColumn="Year" toTable="Table2"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9AD752-5575-4871-BA9B-FC500AB7F5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4D8D4B-3C6C-4038-9513-ED449BE6BA55}" name="WorksheetConnection_Netflix_Data_For_Dashboard.xlsx!Table1" type="102" refreshedVersion="8" minRefreshableVersion="5">
    <extLst>
      <ext xmlns:x15="http://schemas.microsoft.com/office/spreadsheetml/2010/11/main" uri="{DE250136-89BD-433C-8126-D09CA5730AF9}">
        <x15:connection id="Table1">
          <x15:rangePr sourceName="_xlcn.WorksheetConnection_Netflix_Data_For_Dashboard.xlsxTable11"/>
        </x15:connection>
      </ext>
    </extLst>
  </connection>
  <connection id="3" xr16:uid="{28537B2B-AC16-462D-AAA3-B1C92554B3CE}" name="WorksheetConnection_Netflix_Data_For_Dashboard.xlsx!Table2" type="102" refreshedVersion="8" minRefreshableVersion="5">
    <extLst>
      <ext xmlns:x15="http://schemas.microsoft.com/office/spreadsheetml/2010/11/main" uri="{DE250136-89BD-433C-8126-D09CA5730AF9}">
        <x15:connection id="Table2">
          <x15:rangePr sourceName="_xlcn.WorksheetConnection_Netflix_Data_For_Dashboard.xlsxTable21"/>
        </x15:connection>
      </ext>
    </extLst>
  </connection>
</connections>
</file>

<file path=xl/sharedStrings.xml><?xml version="1.0" encoding="utf-8"?>
<sst xmlns="http://schemas.openxmlformats.org/spreadsheetml/2006/main" count="414" uniqueCount="98">
  <si>
    <t>🎬  Netflix Revenue &amp; Subscriber Dashboard</t>
  </si>
  <si>
    <t>=</t>
  </si>
  <si>
    <t>Year</t>
  </si>
  <si>
    <t>Quarter</t>
  </si>
  <si>
    <t>Year-Quarter</t>
  </si>
  <si>
    <t>Total Revenue ($M)</t>
  </si>
  <si>
    <t>Total Subscribers (M)</t>
  </si>
  <si>
    <t>Net Profit ($M)</t>
  </si>
  <si>
    <t>Op Income ($M)</t>
  </si>
  <si>
    <t>Content Cost ($M)</t>
  </si>
  <si>
    <t>Op Margin %</t>
  </si>
  <si>
    <t>Yearly Total Revenue ($M)</t>
  </si>
  <si>
    <t>Yearly Subscribers (M)</t>
  </si>
  <si>
    <t>Yearly Net Profit ($M)</t>
  </si>
  <si>
    <t>Yearly Op Income ($M)</t>
  </si>
  <si>
    <t>Yearly Content Cost ($M)</t>
  </si>
  <si>
    <t>Yearly Op Margin %</t>
  </si>
  <si>
    <t>Rev Growth YoY %</t>
  </si>
  <si>
    <t>Profit Margin %</t>
  </si>
  <si>
    <t>Q1</t>
  </si>
  <si>
    <t>2019-Q1</t>
  </si>
  <si>
    <t>N/A</t>
  </si>
  <si>
    <t>Q2</t>
  </si>
  <si>
    <t>2019-Q2</t>
  </si>
  <si>
    <t>Q3</t>
  </si>
  <si>
    <t>2019-Q3</t>
  </si>
  <si>
    <t>Q4</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</si>
  <si>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</si>
  <si>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</si>
  <si>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</si>
  <si>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</si>
  <si>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</si>
  <si>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</si>
  <si>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</si>
  <si>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</si>
  <si>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</si>
  <si>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</si>
  <si>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</si>
  <si>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</si>
  <si>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</si>
  <si>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</si>
  <si>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</si>
  <si>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</si>
  <si>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</si>
  <si>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</si>
  <si>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</si>
  <si>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</si>
  <si>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</si>
  <si>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Row Labels</t>
  </si>
  <si>
    <t>Sum of Content Cost ($M)</t>
  </si>
  <si>
    <t>Grand Total</t>
  </si>
  <si>
    <t>Average of Op Margin %</t>
  </si>
  <si>
    <t xml:space="preserve">Year </t>
  </si>
  <si>
    <t>Total Subscribers(M)</t>
  </si>
  <si>
    <t>Total Revenue($M)</t>
  </si>
  <si>
    <t>Net Profit($M)</t>
  </si>
  <si>
    <t>Profit Margin%</t>
  </si>
  <si>
    <t>2019</t>
  </si>
  <si>
    <t>2020</t>
  </si>
  <si>
    <t>2021</t>
  </si>
  <si>
    <t>2022</t>
  </si>
  <si>
    <t>2023</t>
  </si>
  <si>
    <t>2024</t>
  </si>
  <si>
    <t>UCAN Rev ($M)</t>
  </si>
  <si>
    <t>EMEA Rev ($M)</t>
  </si>
  <si>
    <t>LATAM Rev ($M)</t>
  </si>
  <si>
    <t>APAC Rev ($M)</t>
  </si>
  <si>
    <t>UCAN Subs (M)</t>
  </si>
  <si>
    <t>EMEA Subs (M)</t>
  </si>
  <si>
    <t>LATAM Subs (M)</t>
  </si>
  <si>
    <t>APAC Subs (M)</t>
  </si>
  <si>
    <t>Sum of APAC Subs (M)</t>
  </si>
  <si>
    <t>Sum of LATAM Subs (M)</t>
  </si>
  <si>
    <t>Sum of EMEA Subs (M)</t>
  </si>
  <si>
    <t>Sum of UCAN Subs (M)</t>
  </si>
  <si>
    <t>Region</t>
  </si>
  <si>
    <t>Revenue ($M)</t>
  </si>
  <si>
    <t>Subscribers (M)</t>
  </si>
  <si>
    <t>ARPM ($)</t>
  </si>
  <si>
    <t>UCAN</t>
  </si>
  <si>
    <t>EMEA</t>
  </si>
  <si>
    <t>LATAM</t>
  </si>
  <si>
    <t>APAC</t>
  </si>
  <si>
    <t>Total Subscribers</t>
  </si>
  <si>
    <t>Total Revenue</t>
  </si>
  <si>
    <t>Net Profit</t>
  </si>
  <si>
    <t>Op Income</t>
  </si>
  <si>
    <t>Content Cost</t>
  </si>
  <si>
    <t>Op Margin</t>
  </si>
  <si>
    <t>Yearly Subscribers</t>
  </si>
  <si>
    <t>Yearly Net Profit</t>
  </si>
  <si>
    <t>Yearly Content Cost</t>
  </si>
  <si>
    <t>Raw Data</t>
  </si>
  <si>
    <t>Regional Breakdown</t>
  </si>
  <si>
    <t>Quarterly Totals</t>
  </si>
  <si>
    <t>Annual KPIs</t>
  </si>
  <si>
    <t>Dataset</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</si>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</sst>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
    <numFmt numFmtId="166" formatCode="0.0%"/>
    <numFmt numFmtId="167" formatCode="_-[$$-409]* #,##0.00_ ;_-[$$-409]* \-#,##0.00\ ;_-[$$-409]* &quot;-&quot;??_ ;_-@_ "/>
    <numFmt numFmtId="168" formatCode="_-[$$-409]* #,##0_ ;_-[$$-409]* \-#,##0\ ;_-[$$-409]* &quot;-&quot;??_ ;_-@_ "/>
  </numFmts>
  <fonts count="13" x14ac:knownFonts="1">
    <font>
      <sz val="11"/>
      <color theme="1"/>
      <name val="Calibri"/>
      <family val="2"/>
      <scheme val="minor"/>
    </font>
    <font>
      <b/>
      <sz val="10"/>
      <color rgb="FFFFFFFF"/>
      <name val="Arial"/>
      <family val="2"/>
    </font>
    <font>
      <sz val="10"/>
      <color rgb="FF141414"/>
      <name val="Arial"/>
      <family val="2"/>
    </font>
    <font>
      <b/>
      <sz val="10"/>
      <color rgb="FFE50914"/>
      <name val="Arial"/>
      <family val="2"/>
    </font>
    <font>
      <b/>
      <sz val="10"/>
      <color rgb="FFB20710"/>
      <name val="Arial"/>
      <family val="2"/>
    </font>
    <font>
      <b/>
      <sz val="18"/>
      <color rgb="FFFFFFFF"/>
      <name val="Arial"/>
      <family val="2"/>
    </font>
    <font>
      <b/>
      <sz val="22"/>
      <color rgb="FFE50914"/>
      <name val="Arial"/>
      <family val="2"/>
    </font>
    <font>
      <b/>
      <sz val="22"/>
      <color rgb="FFFF0000"/>
      <name val="Calibri (Body)"/>
    </font>
    <font>
      <b/>
      <sz val="22"/>
      <color rgb="FFFF0000"/>
      <name val="Calibri"/>
      <family val="2"/>
      <scheme val="minor"/>
    </font>
    <font>
      <b/>
      <sz val="20"/>
      <color rgb="FFFF0000"/>
      <name val="Calibri"/>
      <family val="2"/>
      <scheme val="minor"/>
    </font>
    <font>
      <sz val="11"/>
      <color theme="0"/>
      <name val="Calibri"/>
      <family val="2"/>
      <scheme val="minor"/>
    </font>
    <font>
      <b/>
      <sz val="22"/>
      <color rgb="FFB20710"/>
      <name val="Calibri (Body)"/>
    </font>
    <font>
      <b/>
      <sz val="22"/>
      <color rgb="FFB20710"/>
      <name val="Calibri"/>
      <family val="2"/>
      <scheme val="minor"/>
    </font>
  </fonts>
  <fills count="11">
    <fill>
      <patternFill patternType="none"/>
    </fill>
    <fill>
      <patternFill patternType="gray125"/>
    </fill>
    <fill>
      <patternFill patternType="solid">
        <fgColor rgb="FFB20710"/>
      </patternFill>
    </fill>
    <fill>
      <patternFill patternType="solid">
        <fgColor rgb="FFFFFFFF"/>
      </patternFill>
    </fill>
    <fill>
      <patternFill patternType="solid">
        <fgColor rgb="FFF2F2F2"/>
      </patternFill>
    </fill>
    <fill>
      <patternFill patternType="solid">
        <fgColor rgb="FF2B2B2B"/>
      </patternFill>
    </fill>
    <fill>
      <patternFill patternType="solid">
        <fgColor theme="1" tint="4.9989318521683403E-2"/>
        <bgColor indexed="64"/>
      </patternFill>
    </fill>
    <fill>
      <patternFill patternType="solid">
        <fgColor rgb="FFB20710"/>
        <bgColor indexed="64"/>
      </patternFill>
    </fill>
    <fill>
      <patternFill patternType="solid">
        <fgColor theme="1"/>
        <bgColor indexed="64"/>
      </patternFill>
    </fill>
    <fill>
      <patternFill patternType="solid">
        <fgColor rgb="FF0D0D0D"/>
        <bgColor indexed="64"/>
      </patternFill>
    </fill>
    <fill>
      <patternFill patternType="solid">
        <fgColor theme="0"/>
        <bgColor indexed="64"/>
      </patternFill>
    </fill>
  </fills>
  <borders count="20">
    <border>
      <left/>
      <right/>
      <top/>
      <bottom/>
      <diagonal/>
    </border>
    <border>
      <left style="thin">
        <color rgb="FFE50914"/>
      </left>
      <right style="thin">
        <color rgb="FFE50914"/>
      </right>
      <top style="thin">
        <color rgb="FFE50914"/>
      </top>
      <bottom style="thin">
        <color rgb="FFE50914"/>
      </bottom>
      <diagonal/>
    </border>
    <border>
      <left style="thin">
        <color rgb="FF555555"/>
      </left>
      <right style="thin">
        <color rgb="FF555555"/>
      </right>
      <top style="thin">
        <color rgb="FF555555"/>
      </top>
      <bottom style="thin">
        <color rgb="FF555555"/>
      </bottom>
      <diagonal/>
    </border>
    <border>
      <left/>
      <right/>
      <top/>
      <bottom style="thin">
        <color indexed="64"/>
      </bottom>
      <diagonal/>
    </border>
    <border>
      <left/>
      <right style="thin">
        <color rgb="FF555555"/>
      </right>
      <top style="thin">
        <color rgb="FF555555"/>
      </top>
      <bottom style="thin">
        <color rgb="FF555555"/>
      </bottom>
      <diagonal/>
    </border>
    <border>
      <left style="thin">
        <color rgb="FF555555"/>
      </left>
      <right/>
      <top style="thin">
        <color rgb="FF555555"/>
      </top>
      <bottom style="thin">
        <color rgb="FF555555"/>
      </bottom>
      <diagonal/>
    </border>
    <border>
      <left/>
      <right style="thin">
        <color rgb="FF555555"/>
      </right>
      <top/>
      <bottom style="thin">
        <color rgb="FF555555"/>
      </bottom>
      <diagonal/>
    </border>
    <border>
      <left style="thin">
        <color rgb="FF555555"/>
      </left>
      <right style="thin">
        <color rgb="FF555555"/>
      </right>
      <top/>
      <bottom style="thin">
        <color rgb="FF555555"/>
      </bottom>
      <diagonal/>
    </border>
    <border>
      <left style="thin">
        <color rgb="FF555555"/>
      </left>
      <right/>
      <top/>
      <bottom style="thin">
        <color rgb="FF555555"/>
      </bottom>
      <diagonal/>
    </border>
    <border>
      <left/>
      <right style="thin">
        <color rgb="FF555555"/>
      </right>
      <top style="thin">
        <color rgb="FF555555"/>
      </top>
      <bottom/>
      <diagonal/>
    </border>
    <border>
      <left style="thin">
        <color rgb="FF555555"/>
      </left>
      <right style="thin">
        <color rgb="FF555555"/>
      </right>
      <top style="thin">
        <color rgb="FF555555"/>
      </top>
      <bottom/>
      <diagonal/>
    </border>
    <border>
      <left style="thin">
        <color rgb="FF555555"/>
      </left>
      <right/>
      <top style="thin">
        <color rgb="FF555555"/>
      </top>
      <bottom/>
      <diagonal/>
    </border>
    <border>
      <left style="thin">
        <color rgb="FF555555"/>
      </left>
      <right style="thin">
        <color rgb="FF555555"/>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vertical="center" wrapText="1"/>
    </xf>
    <xf numFmtId="49" fontId="2" fillId="3" borderId="2" xfId="0" applyNumberFormat="1" applyFont="1" applyFill="1" applyBorder="1" applyAlignment="1">
      <alignment horizontal="left" vertical="center"/>
    </xf>
    <xf numFmtId="3" fontId="2" fillId="3" borderId="2"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wrapText="1"/>
    </xf>
    <xf numFmtId="166" fontId="2" fillId="3" borderId="2" xfId="0" applyNumberFormat="1" applyFont="1" applyFill="1" applyBorder="1" applyAlignment="1">
      <alignment horizontal="center" vertical="center" wrapText="1"/>
    </xf>
    <xf numFmtId="49" fontId="2" fillId="4" borderId="2" xfId="0" applyNumberFormat="1" applyFont="1" applyFill="1" applyBorder="1" applyAlignment="1">
      <alignment horizontal="left" vertical="center"/>
    </xf>
    <xf numFmtId="3" fontId="2" fillId="4" borderId="2" xfId="0" applyNumberFormat="1"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165" fontId="2" fillId="4" borderId="2" xfId="0" applyNumberFormat="1" applyFont="1" applyFill="1" applyBorder="1" applyAlignment="1">
      <alignment horizontal="center" vertical="center" wrapText="1"/>
    </xf>
    <xf numFmtId="166" fontId="2" fillId="4" borderId="2" xfId="0" applyNumberFormat="1" applyFont="1" applyFill="1" applyBorder="1" applyAlignment="1">
      <alignment horizontal="center" vertical="center" wrapText="1"/>
    </xf>
    <xf numFmtId="3" fontId="3" fillId="4"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6" borderId="0" xfId="0" applyFill="1"/>
    <xf numFmtId="1" fontId="2" fillId="3" borderId="2" xfId="0" applyNumberFormat="1" applyFont="1" applyFill="1" applyBorder="1" applyAlignment="1">
      <alignment horizontal="center" vertical="center" wrapText="1"/>
    </xf>
    <xf numFmtId="1" fontId="2" fillId="4" borderId="2" xfId="0" applyNumberFormat="1" applyFont="1" applyFill="1" applyBorder="1" applyAlignment="1">
      <alignment horizontal="center" vertical="center" wrapText="1"/>
    </xf>
    <xf numFmtId="0" fontId="0" fillId="0" borderId="0" xfId="0" pivotButton="1"/>
    <xf numFmtId="10" fontId="0" fillId="0" borderId="0" xfId="0" applyNumberFormat="1" applyAlignment="1">
      <alignment horizontal="center"/>
    </xf>
    <xf numFmtId="1" fontId="2" fillId="3" borderId="5" xfId="0" applyNumberFormat="1" applyFont="1" applyFill="1" applyBorder="1" applyAlignment="1">
      <alignment horizontal="center" vertical="center" wrapText="1"/>
    </xf>
    <xf numFmtId="1" fontId="2" fillId="4" borderId="5" xfId="0" applyNumberFormat="1"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3" fontId="2" fillId="4" borderId="10" xfId="0" applyNumberFormat="1" applyFont="1" applyFill="1" applyBorder="1" applyAlignment="1">
      <alignment horizontal="center" vertical="center" wrapText="1"/>
    </xf>
    <xf numFmtId="1" fontId="2" fillId="4" borderId="10" xfId="0" applyNumberFormat="1" applyFont="1" applyFill="1" applyBorder="1" applyAlignment="1">
      <alignment horizontal="center" vertical="center" wrapText="1"/>
    </xf>
    <xf numFmtId="1" fontId="2" fillId="4" borderId="11" xfId="0" applyNumberFormat="1" applyFont="1" applyFill="1" applyBorder="1" applyAlignment="1">
      <alignment horizontal="center" vertical="center" wrapText="1"/>
    </xf>
    <xf numFmtId="2" fontId="0" fillId="0" borderId="0" xfId="0" applyNumberFormat="1"/>
    <xf numFmtId="168" fontId="0" fillId="0" borderId="0" xfId="0" applyNumberFormat="1"/>
    <xf numFmtId="0" fontId="0" fillId="8" borderId="0" xfId="0" applyFill="1"/>
    <xf numFmtId="0" fontId="0" fillId="9" borderId="0" xfId="0" applyFill="1"/>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0" fillId="9" borderId="0" xfId="0" applyFont="1" applyFill="1"/>
    <xf numFmtId="0" fontId="10" fillId="9" borderId="0" xfId="0" applyFont="1" applyFill="1" applyAlignment="1">
      <alignment horizontal="left"/>
    </xf>
    <xf numFmtId="0" fontId="1" fillId="10" borderId="0" xfId="0" applyFont="1" applyFill="1" applyAlignment="1">
      <alignment horizontal="center" vertical="center" wrapText="1"/>
    </xf>
    <xf numFmtId="0" fontId="4" fillId="10" borderId="0" xfId="0" applyFont="1" applyFill="1" applyAlignment="1">
      <alignment horizontal="center" vertical="center" wrapText="1"/>
    </xf>
    <xf numFmtId="3" fontId="2" fillId="10" borderId="0" xfId="0" applyNumberFormat="1" applyFont="1" applyFill="1" applyAlignment="1">
      <alignment horizontal="center" vertical="center" wrapText="1"/>
    </xf>
    <xf numFmtId="164" fontId="2" fillId="10" borderId="0" xfId="0" applyNumberFormat="1" applyFont="1" applyFill="1" applyAlignment="1">
      <alignment horizontal="center" vertical="center" wrapText="1"/>
    </xf>
    <xf numFmtId="166" fontId="2" fillId="10" borderId="0" xfId="0" applyNumberFormat="1" applyFont="1" applyFill="1" applyAlignment="1">
      <alignment horizontal="center" vertical="center" wrapText="1"/>
    </xf>
    <xf numFmtId="0" fontId="2" fillId="10" borderId="0" xfId="0" applyFont="1" applyFill="1" applyAlignment="1">
      <alignment horizontal="center" vertical="center" wrapText="1"/>
    </xf>
    <xf numFmtId="49" fontId="2" fillId="3" borderId="10" xfId="0" applyNumberFormat="1" applyFont="1" applyFill="1" applyBorder="1" applyAlignment="1">
      <alignment horizontal="center" vertical="center" wrapText="1"/>
    </xf>
    <xf numFmtId="3" fontId="2" fillId="3" borderId="10" xfId="0" applyNumberFormat="1" applyFont="1" applyFill="1" applyBorder="1" applyAlignment="1">
      <alignment horizontal="center" vertical="center" wrapText="1"/>
    </xf>
    <xf numFmtId="164" fontId="2" fillId="3" borderId="10" xfId="0" applyNumberFormat="1" applyFont="1" applyFill="1" applyBorder="1" applyAlignment="1">
      <alignment horizontal="center" vertical="center" wrapText="1"/>
    </xf>
    <xf numFmtId="166" fontId="2" fillId="3" borderId="10" xfId="0" applyNumberFormat="1" applyFont="1" applyFill="1" applyBorder="1" applyAlignment="1">
      <alignment horizontal="center" vertical="center" wrapText="1"/>
    </xf>
    <xf numFmtId="49" fontId="2" fillId="4" borderId="12" xfId="0" applyNumberFormat="1" applyFont="1" applyFill="1" applyBorder="1" applyAlignment="1">
      <alignment horizontal="center" vertical="center" wrapText="1"/>
    </xf>
    <xf numFmtId="3" fontId="2" fillId="4" borderId="12" xfId="0" applyNumberFormat="1" applyFont="1" applyFill="1" applyBorder="1" applyAlignment="1">
      <alignment horizontal="center" vertical="center" wrapText="1"/>
    </xf>
    <xf numFmtId="164" fontId="2" fillId="4" borderId="12" xfId="0" applyNumberFormat="1" applyFont="1" applyFill="1" applyBorder="1" applyAlignment="1">
      <alignment horizontal="center" vertical="center" wrapText="1"/>
    </xf>
    <xf numFmtId="166" fontId="2" fillId="4" borderId="1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0" borderId="13" xfId="0" pivotButton="1" applyBorder="1" applyAlignment="1">
      <alignment horizontal="left"/>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left"/>
    </xf>
    <xf numFmtId="164" fontId="0" fillId="0" borderId="0" xfId="0" applyNumberFormat="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0" fillId="0" borderId="17" xfId="0" applyNumberFormat="1" applyBorder="1" applyAlignment="1">
      <alignment horizontal="center"/>
    </xf>
    <xf numFmtId="0" fontId="0" fillId="0" borderId="18" xfId="0" applyBorder="1" applyAlignment="1">
      <alignment horizontal="left"/>
    </xf>
    <xf numFmtId="164" fontId="0" fillId="0" borderId="3" xfId="0" applyNumberFormat="1" applyBorder="1" applyAlignment="1">
      <alignment horizontal="center"/>
    </xf>
    <xf numFmtId="3" fontId="0" fillId="0" borderId="3" xfId="0" applyNumberFormat="1" applyBorder="1" applyAlignment="1">
      <alignment horizontal="center"/>
    </xf>
    <xf numFmtId="166" fontId="0" fillId="0" borderId="3" xfId="0" applyNumberFormat="1" applyBorder="1" applyAlignment="1">
      <alignment horizontal="center"/>
    </xf>
    <xf numFmtId="3" fontId="0" fillId="0" borderId="19" xfId="0" applyNumberFormat="1" applyBorder="1" applyAlignment="1">
      <alignment horizontal="center"/>
    </xf>
    <xf numFmtId="10" fontId="0" fillId="0" borderId="0" xfId="0" applyNumberFormat="1"/>
    <xf numFmtId="0" fontId="6" fillId="6" borderId="0" xfId="0" applyFont="1" applyFill="1" applyAlignment="1">
      <alignment horizontal="center" vertical="center" wrapText="1"/>
    </xf>
    <xf numFmtId="0" fontId="6" fillId="6" borderId="3" xfId="0" applyFont="1" applyFill="1" applyBorder="1" applyAlignment="1">
      <alignment horizontal="center" vertical="center" wrapText="1"/>
    </xf>
    <xf numFmtId="0" fontId="5" fillId="7" borderId="0" xfId="0" applyFont="1" applyFill="1" applyAlignment="1">
      <alignment horizontal="center" vertical="center"/>
    </xf>
    <xf numFmtId="0" fontId="11" fillId="8" borderId="0" xfId="0" applyFont="1" applyFill="1" applyAlignment="1">
      <alignment horizontal="center"/>
    </xf>
    <xf numFmtId="0" fontId="0" fillId="8" borderId="0" xfId="0" applyFill="1" applyAlignment="1">
      <alignment horizontal="center"/>
    </xf>
    <xf numFmtId="0" fontId="9" fillId="9" borderId="0" xfId="0" applyFont="1" applyFill="1" applyAlignment="1">
      <alignment horizontal="center" vertical="center"/>
    </xf>
    <xf numFmtId="0" fontId="12" fillId="8" borderId="0" xfId="0" applyFont="1" applyFill="1" applyAlignment="1">
      <alignment horizontal="center" vertical="center"/>
    </xf>
    <xf numFmtId="0" fontId="7" fillId="9" borderId="0" xfId="0" applyFont="1" applyFill="1" applyAlignment="1">
      <alignment horizontal="center" vertical="center"/>
    </xf>
    <xf numFmtId="0" fontId="8" fillId="9" borderId="0" xfId="0" applyFont="1" applyFill="1" applyAlignment="1">
      <alignment horizontal="center" vertical="center"/>
    </xf>
    <xf numFmtId="0" fontId="0" fillId="0" borderId="0" xfId="0" applyNumberFormat="1"/>
  </cellXfs>
  <cellStyles count="1">
    <cellStyle name="Normal" xfId="0" builtinId="0"/>
  </cellStyles>
  <dxfs count="217">
    <dxf>
      <numFmt numFmtId="2" formatCode="0.00"/>
    </dxf>
    <dxf>
      <numFmt numFmtId="167" formatCode="_-[$$-409]* #,##0.00_ ;_-[$$-409]* \-#,##0.00\ ;_-[$$-409]* &quot;-&quot;??_ ;_-@_ "/>
    </dxf>
    <dxf>
      <numFmt numFmtId="167" formatCode="_-[$$-409]* #,##0.00_ ;_-[$$-409]* \-#,##0.00\ ;_-[$$-409]* &quot;-&quot;??_ ;_-@_ "/>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2" formatCode="0.00"/>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7" formatCode="_-[$$-409]* #,##0.00_ ;_-[$$-409]* \-#,##0.00\ ;_-[$$-409]* &quot;-&quot;??_ ;_-@_ "/>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2" formatCode="0.00"/>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7" formatCode="_-[$$-409]* #,##0.00_ ;_-[$$-409]* \-#,##0.00\ ;_-[$$-409]* &quot;-&quot;??_ ;_-@_ "/>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2" formatCode="0.00"/>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7" formatCode="_-[$$-409]* #,##0.00_ ;_-[$$-409]* \-#,##0.00\ ;_-[$$-409]* &quot;-&quot;??_ ;_-@_ "/>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2" formatCode="0.00"/>
    </dxf>
    <dxf>
      <numFmt numFmtId="168" formatCode="_-[$$-409]* #,##0_ ;_-[$$-409]* \-#,##0\ ;_-[$$-409]* &quot;-&quot;??_ ;_-@_ "/>
    </dxf>
    <dxf>
      <numFmt numFmtId="168" formatCode="_-[$$-409]* #,##0_ ;_-[$$-409]* \-#,##0\ ;_-[$$-409]* &quot;-&quot;??_ ;_-@_ "/>
    </dxf>
    <dxf>
      <numFmt numFmtId="2" formatCode="0.00"/>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7" formatCode="_-[$$-409]* #,##0.00_ ;_-[$$-409]* \-#,##0.00\ ;_-[$$-409]* &quot;-&quot;??_ ;_-@_ "/>
    </dxf>
    <dxf>
      <numFmt numFmtId="167" formatCode="_-[$$-409]* #,##0.00_ ;_-[$$-409]* \-#,##0.00\ ;_-[$$-409]* &quot;-&quot;??_ ;_-@_ "/>
    </dxf>
    <dxf>
      <numFmt numFmtId="167" formatCode="_-[$$-409]* #,##0.00_ ;_-[$$-409]* \-#,##0.00\ ;_-[$$-409]* &quot;-&quot;??_ ;_-@_ "/>
    </dxf>
    <dxf>
      <numFmt numFmtId="2" formatCode="0.00"/>
    </dxf>
    <dxf>
      <numFmt numFmtId="168" formatCode="_-[$$-409]* #,##0_ ;_-[$$-409]* \-#,##0\ ;_-[$$-409]* &quot;-&quot;??_ ;_-@_ "/>
    </dxf>
    <dxf>
      <numFmt numFmtId="168" formatCode="_-[$$-409]* #,##0_ ;_-[$$-409]* \-#,##0\ ;_-[$$-409]* &quot;-&quot;??_ ;_-@_ "/>
    </dxf>
    <dxf>
      <numFmt numFmtId="2" formatCode="0.00"/>
    </dxf>
    <dxf>
      <numFmt numFmtId="167" formatCode="_-[$$-409]* #,##0.00_ ;_-[$$-409]* \-#,##0.00\ ;_-[$$-409]* &quot;-&quot;??_ ;_-@_ "/>
    </dxf>
    <dxf>
      <font>
        <b val="0"/>
        <i val="0"/>
        <strike val="0"/>
        <condense val="0"/>
        <extend val="0"/>
        <outline val="0"/>
        <shadow val="0"/>
        <u val="none"/>
        <vertAlign val="baseline"/>
        <sz val="10"/>
        <color rgb="FF141414"/>
        <name val="Arial"/>
        <family val="2"/>
        <scheme val="none"/>
      </font>
      <numFmt numFmtId="1"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1"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1"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1"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3"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3"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3"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3" formatCode="#,##0"/>
      <fill>
        <patternFill patternType="solid">
          <fgColor indexed="64"/>
          <bgColor rgb="FFF2F2F2"/>
        </patternFill>
      </fill>
      <alignment horizontal="center" vertical="center" textRotation="0" wrapText="1" indent="0" justifyLastLine="0" shrinkToFit="0" readingOrder="0"/>
      <border diagonalUp="0" diagonalDown="0">
        <left style="thin">
          <color rgb="FF555555"/>
        </left>
        <right style="thin">
          <color rgb="FF555555"/>
        </right>
        <top style="thin">
          <color rgb="FF555555"/>
        </top>
        <bottom style="thin">
          <color rgb="FF555555"/>
        </bottom>
        <vertical/>
        <horizontal/>
      </border>
    </dxf>
    <dxf>
      <font>
        <b val="0"/>
        <i val="0"/>
        <strike val="0"/>
        <condense val="0"/>
        <extend val="0"/>
        <outline val="0"/>
        <shadow val="0"/>
        <u val="none"/>
        <vertAlign val="baseline"/>
        <sz val="10"/>
        <color rgb="FF141414"/>
        <name val="Arial"/>
        <family val="2"/>
        <scheme val="none"/>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right style="thin">
          <color rgb="FF555555"/>
        </right>
        <top style="thin">
          <color rgb="FF555555"/>
        </top>
        <bottom style="thin">
          <color rgb="FF555555"/>
        </bottom>
        <vertical/>
        <horizontal/>
      </border>
    </dxf>
    <dxf>
      <border outline="0">
        <top style="thin">
          <color rgb="FF555555"/>
        </top>
      </border>
    </dxf>
    <dxf>
      <border outline="0">
        <left style="thin">
          <color rgb="FF555555"/>
        </left>
        <right style="thin">
          <color rgb="FF555555"/>
        </right>
        <top style="thin">
          <color rgb="FF555555"/>
        </top>
        <bottom style="thin">
          <color rgb="FF555555"/>
        </bottom>
      </border>
    </dxf>
    <dxf>
      <font>
        <b val="0"/>
        <i val="0"/>
        <strike val="0"/>
        <condense val="0"/>
        <extend val="0"/>
        <outline val="0"/>
        <shadow val="0"/>
        <u val="none"/>
        <vertAlign val="baseline"/>
        <sz val="10"/>
        <color rgb="FF141414"/>
        <name val="Arial"/>
        <family val="2"/>
        <scheme val="none"/>
      </font>
      <fill>
        <patternFill patternType="solid">
          <fgColor indexed="64"/>
          <bgColor rgb="FFF2F2F2"/>
        </patternFill>
      </fill>
      <alignment horizontal="center" vertical="center" textRotation="0" wrapText="1" indent="0" justifyLastLine="0" shrinkToFit="0" readingOrder="0"/>
    </dxf>
    <dxf>
      <border outline="0">
        <bottom style="thin">
          <color rgb="FF555555"/>
        </bottom>
      </border>
    </dxf>
    <dxf>
      <font>
        <b/>
        <i val="0"/>
        <strike val="0"/>
        <condense val="0"/>
        <extend val="0"/>
        <outline val="0"/>
        <shadow val="0"/>
        <u val="none"/>
        <vertAlign val="baseline"/>
        <sz val="10"/>
        <color rgb="FFFFFFFF"/>
        <name val="Arial"/>
        <family val="2"/>
        <scheme val="none"/>
      </font>
      <fill>
        <patternFill patternType="solid">
          <fgColor indexed="64"/>
          <bgColor rgb="FF2B2B2B"/>
        </patternFill>
      </fill>
      <alignment horizontal="center" vertical="center" textRotation="0" wrapText="1" indent="0" justifyLastLine="0" shrinkToFit="0" readingOrder="0"/>
      <border diagonalUp="0" diagonalDown="0" outline="0">
        <left style="thin">
          <color rgb="FF555555"/>
        </left>
        <right style="thin">
          <color rgb="FF555555"/>
        </right>
        <top/>
        <bottom/>
      </border>
    </dxf>
    <dxf>
      <font>
        <color theme="0"/>
      </font>
    </dxf>
    <dxf>
      <font>
        <color theme="0"/>
      </font>
    </dxf>
    <dxf>
      <fill>
        <patternFill patternType="solid">
          <bgColor rgb="FF0D0D0D"/>
        </patternFill>
      </fill>
    </dxf>
    <dxf>
      <fill>
        <patternFill patternType="solid">
          <bgColor rgb="FF0D0D0D"/>
        </patternFill>
      </fill>
    </dxf>
    <dxf>
      <font>
        <color theme="0"/>
      </font>
    </dxf>
    <dxf>
      <font>
        <color theme="0"/>
      </font>
    </dxf>
    <dxf>
      <fill>
        <patternFill patternType="solid">
          <bgColor rgb="FF0D0D0D"/>
        </patternFill>
      </fill>
    </dxf>
    <dxf>
      <fill>
        <patternFill patternType="solid">
          <bgColor rgb="FF0D0D0D"/>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center"/>
    </dxf>
    <dxf>
      <alignment horizontal="center"/>
    </dxf>
    <dxf>
      <alignment horizontal="center"/>
    </dxf>
    <dxf>
      <fill>
        <patternFill>
          <bgColor rgb="FFB20710"/>
        </patternFill>
      </fill>
    </dxf>
    <dxf>
      <fill>
        <patternFill>
          <bgColor theme="1"/>
        </patternFill>
      </fill>
    </dxf>
  </dxfs>
  <tableStyles count="1" defaultTableStyle="TableStyleMedium9" defaultPivotStyle="PivotStyleLight16">
    <tableStyle name="Slicer Style 1" pivot="0" table="0" count="10" xr9:uid="{FD5EDD9F-1A92-4614-BAF0-19828B11541C}">
      <tableStyleElement type="wholeTable" dxfId="216"/>
      <tableStyleElement type="headerRow" dxfId="215"/>
    </tableStyle>
  </tableStyles>
  <colors>
    <mruColors>
      <color rgb="FFB20710"/>
      <color rgb="FF0D0D0D"/>
    </mruColors>
  </colors>
  <extLst>
    <ext xmlns:x14="http://schemas.microsoft.com/office/spreadsheetml/2009/9/main" uri="{46F421CA-312F-682f-3DD2-61675219B42D}">
      <x14:dxfs count="8">
        <dxf>
          <fill>
            <patternFill>
              <bgColor theme="5" tint="0.39994506668294322"/>
            </patternFill>
          </fill>
        </dxf>
        <dxf>
          <fill>
            <patternFill>
              <bgColor theme="5" tint="0.79998168889431442"/>
            </patternFill>
          </fill>
        </dxf>
        <dxf>
          <fill>
            <patternFill>
              <bgColor theme="5" tint="0.39994506668294322"/>
            </patternFill>
          </fill>
        </dxf>
        <dxf>
          <fill>
            <patternFill>
              <bgColor theme="5" tint="0.79998168889431442"/>
            </patternFill>
          </fill>
        </dxf>
        <dxf>
          <fill>
            <patternFill>
              <bgColor rgb="FFB20710"/>
            </patternFill>
          </fill>
        </dxf>
        <dxf>
          <fill>
            <patternFill>
              <bgColor rgb="FFB20710"/>
            </patternFill>
          </fill>
        </dxf>
        <dxf>
          <fill>
            <patternFill>
              <bgColor theme="5" tint="0.59996337778862885"/>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[Netflix_final.xlsx]Dataset!PivotTable11</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Dataset!$B$31</c:f>
              <c:strCache>
                <c:ptCount val="1"/>
                <c:pt idx="0">
                  <c:v>Total Subscribers</c:v>
                </c:pt>
              </c:strCache>
            </c:strRef>
          </c:tx>
          <c:spPr>
            <a:solidFill>
              <a:srgbClr val="7030A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Dataset!$A$32:$A$38</c:f>
              <c:strCache>
                <c:ptCount val="6"/>
                <c:pt idx="0">
                  <c:v>2019</c:v>
                </c:pt>
                <c:pt idx="1">
                  <c:v>2020</c:v>
                </c:pt>
                <c:pt idx="2">
                  <c:v>2021</c:v>
                </c:pt>
                <c:pt idx="3">
                  <c:v>2022</c:v>
                </c:pt>
                <c:pt idx="4">
                  <c:v>2023</c:v>
                </c:pt>
                <c:pt idx="5">
                  <c:v>2024</c:v>
                </c:pt>
              </c:strCache>
            </c:strRef>
          </c:cat>
          <c:val>
            <c:numRef>
              <c:f>Dataset!$B$32:$B$38</c:f>
              <c:numCache>
                <c:formatCode>General</c:formatCode>
                <c:ptCount val="6"/>
                <c:pt idx="0">
                  <c:v>551.5</c:v>
                </c:pt>
                <c:pt idx="1">
                  <c:v>664.3</c:v>
                </c:pt>
                <c:pt idx="2">
                  <c:v>828.5</c:v>
                </c:pt>
                <c:pt idx="3">
                  <c:v>873.7</c:v>
                </c:pt>
                <c:pt idx="4">
                  <c:v>976.9</c:v>
                </c:pt>
                <c:pt idx="5">
                  <c:v>1198.6999999999998</c:v>
                </c:pt>
              </c:numCache>
            </c:numRef>
          </c:val>
          <c:extLst>
            <c:ext xmlns:c16="http://schemas.microsoft.com/office/drawing/2014/chart" uri="{C3380CC4-5D6E-409C-BE32-E72D297353CC}">
              <c16:uniqueId val="{00000000-1201-453C-A062-9A5443BB4A7B}"/>
            </c:ext>
          </c:extLst>
        </c:ser>
        <c:ser>
          <c:idx val="1"/>
          <c:order val="1"/>
          <c:tx>
            <c:strRef>
              <c:f>Dataset!$C$31</c:f>
              <c:strCache>
                <c:ptCount val="1"/>
                <c:pt idx="0">
                  <c:v>Total Revenue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Dataset!$A$32:$A$38</c:f>
              <c:strCache>
                <c:ptCount val="6"/>
                <c:pt idx="0">
                  <c:v>2019</c:v>
                </c:pt>
                <c:pt idx="1">
                  <c:v>2020</c:v>
                </c:pt>
                <c:pt idx="2">
                  <c:v>2021</c:v>
                </c:pt>
                <c:pt idx="3">
                  <c:v>2022</c:v>
                </c:pt>
                <c:pt idx="4">
                  <c:v>2023</c:v>
                </c:pt>
                <c:pt idx="5">
                  <c:v>2024</c:v>
                </c:pt>
              </c:strCache>
            </c:strRef>
          </c:cat>
          <c:val>
            <c:numRef>
              <c:f>Dataset!$C$32:$C$38</c:f>
              <c:numCache>
                <c:formatCode>_-[$$-409]* #,##0_ ;_-[$$-409]* \-#,##0\ ;_-[$$-409]* "-"??_ ;_-@_ </c:formatCode>
                <c:ptCount val="6"/>
                <c:pt idx="0">
                  <c:v>18123</c:v>
                </c:pt>
                <c:pt idx="1">
                  <c:v>23435</c:v>
                </c:pt>
                <c:pt idx="2">
                  <c:v>28876</c:v>
                </c:pt>
                <c:pt idx="3">
                  <c:v>31337</c:v>
                </c:pt>
                <c:pt idx="4">
                  <c:v>35215</c:v>
                </c:pt>
                <c:pt idx="5">
                  <c:v>45428</c:v>
                </c:pt>
              </c:numCache>
            </c:numRef>
          </c:val>
          <c:extLst>
            <c:ext xmlns:c16="http://schemas.microsoft.com/office/drawing/2014/chart" uri="{C3380CC4-5D6E-409C-BE32-E72D297353CC}">
              <c16:uniqueId val="{00000001-1201-453C-A062-9A5443BB4A7B}"/>
            </c:ext>
          </c:extLst>
        </c:ser>
        <c:ser>
          <c:idx val="2"/>
          <c:order val="2"/>
          <c:tx>
            <c:strRef>
              <c:f>Dataset!$D$31</c:f>
              <c:strCache>
                <c:ptCount val="1"/>
                <c:pt idx="0">
                  <c:v>Net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Dataset!$A$32:$A$38</c:f>
              <c:strCache>
                <c:ptCount val="6"/>
                <c:pt idx="0">
                  <c:v>2019</c:v>
                </c:pt>
                <c:pt idx="1">
                  <c:v>2020</c:v>
                </c:pt>
                <c:pt idx="2">
                  <c:v>2021</c:v>
                </c:pt>
                <c:pt idx="3">
                  <c:v>2022</c:v>
                </c:pt>
                <c:pt idx="4">
                  <c:v>2023</c:v>
                </c:pt>
                <c:pt idx="5">
                  <c:v>2024</c:v>
                </c:pt>
              </c:strCache>
            </c:strRef>
          </c:cat>
          <c:val>
            <c:numRef>
              <c:f>Dataset!$D$32:$D$38</c:f>
              <c:numCache>
                <c:formatCode>_-[$$-409]* #,##0_ ;_-[$$-409]* \-#,##0\ ;_-[$$-409]* "-"??_ ;_-@_ </c:formatCode>
                <c:ptCount val="6"/>
                <c:pt idx="0">
                  <c:v>7464</c:v>
                </c:pt>
                <c:pt idx="1">
                  <c:v>16380</c:v>
                </c:pt>
                <c:pt idx="2">
                  <c:v>20464</c:v>
                </c:pt>
                <c:pt idx="3">
                  <c:v>2500</c:v>
                </c:pt>
                <c:pt idx="4">
                  <c:v>21632</c:v>
                </c:pt>
                <c:pt idx="5">
                  <c:v>34848</c:v>
                </c:pt>
              </c:numCache>
            </c:numRef>
          </c:val>
          <c:extLst>
            <c:ext xmlns:c16="http://schemas.microsoft.com/office/drawing/2014/chart" uri="{C3380CC4-5D6E-409C-BE32-E72D297353CC}">
              <c16:uniqueId val="{00000002-1201-453C-A062-9A5443BB4A7B}"/>
            </c:ext>
          </c:extLst>
        </c:ser>
        <c:ser>
          <c:idx val="3"/>
          <c:order val="3"/>
          <c:tx>
            <c:strRef>
              <c:f>Dataset!$E$31</c:f>
              <c:strCache>
                <c:ptCount val="1"/>
                <c:pt idx="0">
                  <c:v>Sum of Profit Margin %</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Dataset!$A$32:$A$38</c:f>
              <c:strCache>
                <c:ptCount val="6"/>
                <c:pt idx="0">
                  <c:v>2019</c:v>
                </c:pt>
                <c:pt idx="1">
                  <c:v>2020</c:v>
                </c:pt>
                <c:pt idx="2">
                  <c:v>2021</c:v>
                </c:pt>
                <c:pt idx="3">
                  <c:v>2022</c:v>
                </c:pt>
                <c:pt idx="4">
                  <c:v>2023</c:v>
                </c:pt>
                <c:pt idx="5">
                  <c:v>2024</c:v>
                </c:pt>
              </c:strCache>
            </c:strRef>
          </c:cat>
          <c:val>
            <c:numRef>
              <c:f>Dataset!$E$32:$E$38</c:f>
              <c:numCache>
                <c:formatCode>0.00%</c:formatCode>
                <c:ptCount val="6"/>
                <c:pt idx="0">
                  <c:v>0.372</c:v>
                </c:pt>
                <c:pt idx="1">
                  <c:v>0.44</c:v>
                </c:pt>
                <c:pt idx="2">
                  <c:v>0.68799999999999994</c:v>
                </c:pt>
                <c:pt idx="3">
                  <c:v>0.20399999999999999</c:v>
                </c:pt>
                <c:pt idx="4">
                  <c:v>0.64</c:v>
                </c:pt>
                <c:pt idx="5">
                  <c:v>0.91200000000000003</c:v>
                </c:pt>
              </c:numCache>
            </c:numRef>
          </c:val>
          <c:extLst>
            <c:ext xmlns:c16="http://schemas.microsoft.com/office/drawing/2014/chart" uri="{C3380CC4-5D6E-409C-BE32-E72D297353CC}">
              <c16:uniqueId val="{00000001-1071-42AF-9949-AD364336975A}"/>
            </c:ext>
          </c:extLst>
        </c:ser>
        <c:dLbls>
          <c:showLegendKey val="0"/>
          <c:showVal val="0"/>
          <c:showCatName val="0"/>
          <c:showSerName val="0"/>
          <c:showPercent val="0"/>
          <c:showBubbleSize val="0"/>
        </c:dLbls>
        <c:gapWidth val="150"/>
        <c:axId val="1521421952"/>
        <c:axId val="1526958160"/>
      </c:barChart>
      <c:valAx>
        <c:axId val="15269581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1421952"/>
        <c:crosses val="max"/>
        <c:crossBetween val="between"/>
      </c:valAx>
      <c:catAx>
        <c:axId val="1521421952"/>
        <c:scaling>
          <c:orientation val="minMax"/>
        </c:scaling>
        <c:delete val="1"/>
        <c:axPos val="b"/>
        <c:numFmt formatCode="General" sourceLinked="1"/>
        <c:majorTickMark val="none"/>
        <c:minorTickMark val="none"/>
        <c:tickLblPos val="nextTo"/>
        <c:crossAx val="152695816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[Netflix_final.xlsx]Dataset!PivotTable4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Average of Op Margin %</a:t>
            </a:r>
          </a:p>
        </c:rich>
      </c:tx>
      <c:layout>
        <c:manualLayout>
          <c:xMode val="edge"/>
          <c:yMode val="edge"/>
          <c:x val="0.33474554796197525"/>
          <c:y val="2.75241933867165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Dataset!$B$40</c:f>
              <c:strCache>
                <c:ptCount val="1"/>
                <c:pt idx="0">
                  <c:v>Total</c:v>
                </c:pt>
              </c:strCache>
            </c:strRef>
          </c:tx>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Dataset!$A$41:$A$47</c:f>
              <c:strCache>
                <c:ptCount val="6"/>
                <c:pt idx="0">
                  <c:v>2019</c:v>
                </c:pt>
                <c:pt idx="1">
                  <c:v>2020</c:v>
                </c:pt>
                <c:pt idx="2">
                  <c:v>2021</c:v>
                </c:pt>
                <c:pt idx="3">
                  <c:v>2022</c:v>
                </c:pt>
                <c:pt idx="4">
                  <c:v>2023</c:v>
                </c:pt>
                <c:pt idx="5">
                  <c:v>2024</c:v>
                </c:pt>
              </c:strCache>
            </c:strRef>
          </c:cat>
          <c:val>
            <c:numRef>
              <c:f>Dataset!$B$41:$B$47</c:f>
              <c:numCache>
                <c:formatCode>0.00</c:formatCode>
                <c:ptCount val="6"/>
                <c:pt idx="0">
                  <c:v>0.75550000000000006</c:v>
                </c:pt>
                <c:pt idx="1">
                  <c:v>0.87000000000000011</c:v>
                </c:pt>
                <c:pt idx="2">
                  <c:v>0.99774999999999991</c:v>
                </c:pt>
                <c:pt idx="3">
                  <c:v>0.65275000000000005</c:v>
                </c:pt>
                <c:pt idx="4">
                  <c:v>0.79374999999999996</c:v>
                </c:pt>
                <c:pt idx="5">
                  <c:v>0.92199999999999993</c:v>
                </c:pt>
              </c:numCache>
            </c:numRef>
          </c:val>
          <c:extLst>
            <c:ext xmlns:c16="http://schemas.microsoft.com/office/drawing/2014/chart" uri="{C3380CC4-5D6E-409C-BE32-E72D297353CC}">
              <c16:uniqueId val="{00000000-67EA-4143-8B20-0F70880671EC}"/>
            </c:ext>
          </c:extLst>
        </c:ser>
        <c:dLbls>
          <c:showLegendKey val="0"/>
          <c:showVal val="0"/>
          <c:showCatName val="0"/>
          <c:showSerName val="0"/>
          <c:showPercent val="0"/>
          <c:showBubbleSize val="0"/>
        </c:dLbls>
        <c:axId val="1975374560"/>
        <c:axId val="1975366880"/>
      </c:areaChart>
      <c:catAx>
        <c:axId val="19753745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366880"/>
        <c:crosses val="autoZero"/>
        <c:auto val="1"/>
        <c:lblAlgn val="ctr"/>
        <c:lblOffset val="100"/>
        <c:noMultiLvlLbl val="0"/>
      </c:catAx>
      <c:valAx>
        <c:axId val="19753668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374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[Netflix_final.xlsx]Dataset!PivotTable5</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D0D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Dataset!$G$31</c:f>
              <c:strCache>
                <c:ptCount val="1"/>
                <c:pt idx="0">
                  <c:v>Op Income</c:v>
                </c:pt>
              </c:strCache>
            </c:strRef>
          </c:tx>
          <c:spPr>
            <a:solidFill>
              <a:srgbClr val="0D0D0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Dataset!$F$32:$F$38</c:f>
              <c:strCache>
                <c:ptCount val="6"/>
                <c:pt idx="0">
                  <c:v>2019</c:v>
                </c:pt>
                <c:pt idx="1">
                  <c:v>2020</c:v>
                </c:pt>
                <c:pt idx="2">
                  <c:v>2021</c:v>
                </c:pt>
                <c:pt idx="3">
                  <c:v>2022</c:v>
                </c:pt>
                <c:pt idx="4">
                  <c:v>2023</c:v>
                </c:pt>
                <c:pt idx="5">
                  <c:v>2024</c:v>
                </c:pt>
              </c:strCache>
            </c:strRef>
          </c:cat>
          <c:val>
            <c:numRef>
              <c:f>Dataset!$G$32:$G$38</c:f>
              <c:numCache>
                <c:formatCode>_-[$$-409]* #,##0_ ;_-[$$-409]* \-#,##0\ ;_-[$$-409]* "-"??_ ;_-@_ </c:formatCode>
                <c:ptCount val="6"/>
                <c:pt idx="0">
                  <c:v>13996</c:v>
                </c:pt>
                <c:pt idx="1">
                  <c:v>20492</c:v>
                </c:pt>
                <c:pt idx="2">
                  <c:v>28556</c:v>
                </c:pt>
                <c:pt idx="3">
                  <c:v>20448</c:v>
                </c:pt>
                <c:pt idx="4">
                  <c:v>27752</c:v>
                </c:pt>
                <c:pt idx="5">
                  <c:v>41676</c:v>
                </c:pt>
              </c:numCache>
            </c:numRef>
          </c:val>
          <c:extLst>
            <c:ext xmlns:c16="http://schemas.microsoft.com/office/drawing/2014/chart" uri="{C3380CC4-5D6E-409C-BE32-E72D297353CC}">
              <c16:uniqueId val="{00000000-1643-4494-9907-BAE4B8040151}"/>
            </c:ext>
          </c:extLst>
        </c:ser>
        <c:ser>
          <c:idx val="1"/>
          <c:order val="1"/>
          <c:tx>
            <c:strRef>
              <c:f>Dataset!$H$31</c:f>
              <c:strCache>
                <c:ptCount val="1"/>
                <c:pt idx="0">
                  <c:v>Content Cost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Dataset!$F$32:$F$38</c:f>
              <c:strCache>
                <c:ptCount val="6"/>
                <c:pt idx="0">
                  <c:v>2019</c:v>
                </c:pt>
                <c:pt idx="1">
                  <c:v>2020</c:v>
                </c:pt>
                <c:pt idx="2">
                  <c:v>2021</c:v>
                </c:pt>
                <c:pt idx="3">
                  <c:v>2022</c:v>
                </c:pt>
                <c:pt idx="4">
                  <c:v>2023</c:v>
                </c:pt>
                <c:pt idx="5">
                  <c:v>2024</c:v>
                </c:pt>
              </c:strCache>
            </c:strRef>
          </c:cat>
          <c:val>
            <c:numRef>
              <c:f>Dataset!$H$32:$H$38</c:f>
              <c:numCache>
                <c:formatCode>_-[$$-409]* #,##0_ ;_-[$$-409]* \-#,##0\ ;_-[$$-409]* "-"??_ ;_-@_ </c:formatCode>
                <c:ptCount val="6"/>
                <c:pt idx="0">
                  <c:v>41388</c:v>
                </c:pt>
                <c:pt idx="1">
                  <c:v>48872</c:v>
                </c:pt>
                <c:pt idx="2">
                  <c:v>58796</c:v>
                </c:pt>
                <c:pt idx="3">
                  <c:v>66060</c:v>
                </c:pt>
                <c:pt idx="4">
                  <c:v>65696</c:v>
                </c:pt>
                <c:pt idx="5">
                  <c:v>74128</c:v>
                </c:pt>
              </c:numCache>
            </c:numRef>
          </c:val>
          <c:extLst>
            <c:ext xmlns:c16="http://schemas.microsoft.com/office/drawing/2014/chart" uri="{C3380CC4-5D6E-409C-BE32-E72D297353CC}">
              <c16:uniqueId val="{00000001-1643-4494-9907-BAE4B8040151}"/>
            </c:ext>
          </c:extLst>
        </c:ser>
        <c:dLbls>
          <c:showLegendKey val="0"/>
          <c:showVal val="0"/>
          <c:showCatName val="0"/>
          <c:showSerName val="0"/>
          <c:showPercent val="0"/>
          <c:showBubbleSize val="0"/>
        </c:dLbls>
        <c:gapWidth val="150"/>
        <c:axId val="1975430240"/>
        <c:axId val="1975419680"/>
      </c:barChart>
      <c:lineChart>
        <c:grouping val="standard"/>
        <c:varyColors val="0"/>
        <c:ser>
          <c:idx val="2"/>
          <c:order val="2"/>
          <c:tx>
            <c:strRef>
              <c:f>Dataset!$I$31</c:f>
              <c:strCache>
                <c:ptCount val="1"/>
                <c:pt idx="0">
                  <c:v>Op Margin</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Dataset!$F$32:$F$38</c:f>
              <c:strCache>
                <c:ptCount val="6"/>
                <c:pt idx="0">
                  <c:v>2019</c:v>
                </c:pt>
                <c:pt idx="1">
                  <c:v>2020</c:v>
                </c:pt>
                <c:pt idx="2">
                  <c:v>2021</c:v>
                </c:pt>
                <c:pt idx="3">
                  <c:v>2022</c:v>
                </c:pt>
                <c:pt idx="4">
                  <c:v>2023</c:v>
                </c:pt>
                <c:pt idx="5">
                  <c:v>2024</c:v>
                </c:pt>
              </c:strCache>
            </c:strRef>
          </c:cat>
          <c:val>
            <c:numRef>
              <c:f>Dataset!$I$32:$I$38</c:f>
              <c:numCache>
                <c:formatCode>0.00</c:formatCode>
                <c:ptCount val="6"/>
                <c:pt idx="0">
                  <c:v>0.75550000000000006</c:v>
                </c:pt>
                <c:pt idx="1">
                  <c:v>0.87000000000000011</c:v>
                </c:pt>
                <c:pt idx="2">
                  <c:v>0.99774999999999991</c:v>
                </c:pt>
                <c:pt idx="3">
                  <c:v>0.65275000000000005</c:v>
                </c:pt>
                <c:pt idx="4">
                  <c:v>0.79374999999999996</c:v>
                </c:pt>
                <c:pt idx="5">
                  <c:v>0.92199999999999993</c:v>
                </c:pt>
              </c:numCache>
            </c:numRef>
          </c:val>
          <c:smooth val="0"/>
          <c:extLst>
            <c:ext xmlns:c16="http://schemas.microsoft.com/office/drawing/2014/chart" uri="{C3380CC4-5D6E-409C-BE32-E72D297353CC}">
              <c16:uniqueId val="{00000002-1643-4494-9907-BAE4B8040151}"/>
            </c:ext>
          </c:extLst>
        </c:ser>
        <c:dLbls>
          <c:showLegendKey val="0"/>
          <c:showVal val="0"/>
          <c:showCatName val="0"/>
          <c:showSerName val="0"/>
          <c:showPercent val="0"/>
          <c:showBubbleSize val="0"/>
        </c:dLbls>
        <c:marker val="1"/>
        <c:smooth val="0"/>
        <c:axId val="1975423520"/>
        <c:axId val="1975434080"/>
      </c:lineChart>
      <c:catAx>
        <c:axId val="1975430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19680"/>
        <c:crosses val="autoZero"/>
        <c:auto val="1"/>
        <c:lblAlgn val="ctr"/>
        <c:lblOffset val="100"/>
        <c:noMultiLvlLbl val="0"/>
      </c:catAx>
      <c:valAx>
        <c:axId val="1975419680"/>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30240"/>
        <c:crosses val="autoZero"/>
        <c:crossBetween val="between"/>
      </c:valAx>
      <c:valAx>
        <c:axId val="197543408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23520"/>
        <c:crosses val="max"/>
        <c:crossBetween val="between"/>
      </c:valAx>
      <c:catAx>
        <c:axId val="1975423520"/>
        <c:scaling>
          <c:orientation val="minMax"/>
        </c:scaling>
        <c:delete val="1"/>
        <c:axPos val="b"/>
        <c:numFmt formatCode="General" sourceLinked="1"/>
        <c:majorTickMark val="none"/>
        <c:minorTickMark val="none"/>
        <c:tickLblPos val="nextTo"/>
        <c:crossAx val="1975434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[Netflix_final.xlsx]Dataset!PivotTable6</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Dataset!$E$40</c:f>
              <c:strCache>
                <c:ptCount val="1"/>
                <c:pt idx="0">
                  <c:v>Total 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Dataset!$D$41:$D$47</c:f>
              <c:strCache>
                <c:ptCount val="6"/>
                <c:pt idx="0">
                  <c:v>2019</c:v>
                </c:pt>
                <c:pt idx="1">
                  <c:v>2020</c:v>
                </c:pt>
                <c:pt idx="2">
                  <c:v>2021</c:v>
                </c:pt>
                <c:pt idx="3">
                  <c:v>2022</c:v>
                </c:pt>
                <c:pt idx="4">
                  <c:v>2023</c:v>
                </c:pt>
                <c:pt idx="5">
                  <c:v>2024</c:v>
                </c:pt>
              </c:strCache>
            </c:strRef>
          </c:cat>
          <c:val>
            <c:numRef>
              <c:f>Dataset!$E$41:$E$47</c:f>
              <c:numCache>
                <c:formatCode>_-[$$-409]* #,##0_ ;_-[$$-409]* \-#,##0\ ;_-[$$-409]* "-"??_ ;_-@_ </c:formatCode>
                <c:ptCount val="6"/>
                <c:pt idx="0">
                  <c:v>80628</c:v>
                </c:pt>
                <c:pt idx="1">
                  <c:v>99984</c:v>
                </c:pt>
                <c:pt idx="2">
                  <c:v>118792</c:v>
                </c:pt>
                <c:pt idx="3">
                  <c:v>126464</c:v>
                </c:pt>
                <c:pt idx="4">
                  <c:v>134892</c:v>
                </c:pt>
                <c:pt idx="5">
                  <c:v>155792</c:v>
                </c:pt>
              </c:numCache>
            </c:numRef>
          </c:val>
          <c:smooth val="0"/>
          <c:extLst>
            <c:ext xmlns:c16="http://schemas.microsoft.com/office/drawing/2014/chart" uri="{C3380CC4-5D6E-409C-BE32-E72D297353CC}">
              <c16:uniqueId val="{00000000-626E-44EF-8F81-1E89C662F810}"/>
            </c:ext>
          </c:extLst>
        </c:ser>
        <c:ser>
          <c:idx val="1"/>
          <c:order val="1"/>
          <c:tx>
            <c:strRef>
              <c:f>Dataset!$F$40</c:f>
              <c:strCache>
                <c:ptCount val="1"/>
                <c:pt idx="0">
                  <c:v>Yearly Subscribers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Dataset!$D$41:$D$47</c:f>
              <c:strCache>
                <c:ptCount val="6"/>
                <c:pt idx="0">
                  <c:v>2019</c:v>
                </c:pt>
                <c:pt idx="1">
                  <c:v>2020</c:v>
                </c:pt>
                <c:pt idx="2">
                  <c:v>2021</c:v>
                </c:pt>
                <c:pt idx="3">
                  <c:v>2022</c:v>
                </c:pt>
                <c:pt idx="4">
                  <c:v>2023</c:v>
                </c:pt>
                <c:pt idx="5">
                  <c:v>2024</c:v>
                </c:pt>
              </c:strCache>
            </c:strRef>
          </c:cat>
          <c:val>
            <c:numRef>
              <c:f>Dataset!$F$41:$F$47</c:f>
              <c:numCache>
                <c:formatCode>0.00</c:formatCode>
                <c:ptCount val="6"/>
                <c:pt idx="0">
                  <c:v>668.4</c:v>
                </c:pt>
                <c:pt idx="1">
                  <c:v>814.8</c:v>
                </c:pt>
                <c:pt idx="2">
                  <c:v>887.2</c:v>
                </c:pt>
                <c:pt idx="3">
                  <c:v>882.8</c:v>
                </c:pt>
                <c:pt idx="4">
                  <c:v>1041.2</c:v>
                </c:pt>
                <c:pt idx="5">
                  <c:v>1206.4000000000001</c:v>
                </c:pt>
              </c:numCache>
            </c:numRef>
          </c:val>
          <c:smooth val="0"/>
          <c:extLst>
            <c:ext xmlns:c16="http://schemas.microsoft.com/office/drawing/2014/chart" uri="{C3380CC4-5D6E-409C-BE32-E72D297353CC}">
              <c16:uniqueId val="{00000001-626E-44EF-8F81-1E89C662F810}"/>
            </c:ext>
          </c:extLst>
        </c:ser>
        <c:ser>
          <c:idx val="2"/>
          <c:order val="2"/>
          <c:tx>
            <c:strRef>
              <c:f>Dataset!$G$40</c:f>
              <c:strCache>
                <c:ptCount val="1"/>
                <c:pt idx="0">
                  <c:v>Yearly Net Profit</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Dataset!$D$41:$D$47</c:f>
              <c:strCache>
                <c:ptCount val="6"/>
                <c:pt idx="0">
                  <c:v>2019</c:v>
                </c:pt>
                <c:pt idx="1">
                  <c:v>2020</c:v>
                </c:pt>
                <c:pt idx="2">
                  <c:v>2021</c:v>
                </c:pt>
                <c:pt idx="3">
                  <c:v>2022</c:v>
                </c:pt>
                <c:pt idx="4">
                  <c:v>2023</c:v>
                </c:pt>
                <c:pt idx="5">
                  <c:v>2024</c:v>
                </c:pt>
              </c:strCache>
            </c:strRef>
          </c:cat>
          <c:val>
            <c:numRef>
              <c:f>Dataset!$G$41:$G$47</c:f>
              <c:numCache>
                <c:formatCode>_-[$$-409]* #,##0_ ;_-[$$-409]* \-#,##0\ ;_-[$$-409]* "-"??_ ;_-@_ </c:formatCode>
                <c:ptCount val="6"/>
                <c:pt idx="0">
                  <c:v>7468</c:v>
                </c:pt>
                <c:pt idx="1">
                  <c:v>11044</c:v>
                </c:pt>
                <c:pt idx="2">
                  <c:v>20464</c:v>
                </c:pt>
                <c:pt idx="3">
                  <c:v>6500</c:v>
                </c:pt>
                <c:pt idx="4">
                  <c:v>21632</c:v>
                </c:pt>
                <c:pt idx="5">
                  <c:v>35536</c:v>
                </c:pt>
              </c:numCache>
            </c:numRef>
          </c:val>
          <c:smooth val="0"/>
          <c:extLst>
            <c:ext xmlns:c16="http://schemas.microsoft.com/office/drawing/2014/chart" uri="{C3380CC4-5D6E-409C-BE32-E72D297353CC}">
              <c16:uniqueId val="{00000002-626E-44EF-8F81-1E89C662F810}"/>
            </c:ext>
          </c:extLst>
        </c:ser>
        <c:ser>
          <c:idx val="3"/>
          <c:order val="3"/>
          <c:tx>
            <c:strRef>
              <c:f>Dataset!$H$40</c:f>
              <c:strCache>
                <c:ptCount val="1"/>
                <c:pt idx="0">
                  <c:v>Op Income</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Dataset!$D$41:$D$47</c:f>
              <c:strCache>
                <c:ptCount val="6"/>
                <c:pt idx="0">
                  <c:v>2019</c:v>
                </c:pt>
                <c:pt idx="1">
                  <c:v>2020</c:v>
                </c:pt>
                <c:pt idx="2">
                  <c:v>2021</c:v>
                </c:pt>
                <c:pt idx="3">
                  <c:v>2022</c:v>
                </c:pt>
                <c:pt idx="4">
                  <c:v>2023</c:v>
                </c:pt>
                <c:pt idx="5">
                  <c:v>2024</c:v>
                </c:pt>
              </c:strCache>
            </c:strRef>
          </c:cat>
          <c:val>
            <c:numRef>
              <c:f>Dataset!$H$41:$H$47</c:f>
              <c:numCache>
                <c:formatCode>_-[$$-409]* #,##0_ ;_-[$$-409]* \-#,##0\ ;_-[$$-409]* "-"??_ ;_-@_ </c:formatCode>
                <c:ptCount val="6"/>
                <c:pt idx="0">
                  <c:v>10416</c:v>
                </c:pt>
                <c:pt idx="1">
                  <c:v>18340</c:v>
                </c:pt>
                <c:pt idx="2">
                  <c:v>24780</c:v>
                </c:pt>
                <c:pt idx="3">
                  <c:v>22532</c:v>
                </c:pt>
                <c:pt idx="4">
                  <c:v>28024</c:v>
                </c:pt>
                <c:pt idx="5">
                  <c:v>41676</c:v>
                </c:pt>
              </c:numCache>
            </c:numRef>
          </c:val>
          <c:smooth val="0"/>
          <c:extLst>
            <c:ext xmlns:c16="http://schemas.microsoft.com/office/drawing/2014/chart" uri="{C3380CC4-5D6E-409C-BE32-E72D297353CC}">
              <c16:uniqueId val="{00000003-626E-44EF-8F81-1E89C662F810}"/>
            </c:ext>
          </c:extLst>
        </c:ser>
        <c:ser>
          <c:idx val="4"/>
          <c:order val="4"/>
          <c:tx>
            <c:strRef>
              <c:f>Dataset!$I$40</c:f>
              <c:strCache>
                <c:ptCount val="1"/>
                <c:pt idx="0">
                  <c:v>Yearly Content Cost</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Dataset!$D$41:$D$47</c:f>
              <c:strCache>
                <c:ptCount val="6"/>
                <c:pt idx="0">
                  <c:v>2019</c:v>
                </c:pt>
                <c:pt idx="1">
                  <c:v>2020</c:v>
                </c:pt>
                <c:pt idx="2">
                  <c:v>2021</c:v>
                </c:pt>
                <c:pt idx="3">
                  <c:v>2022</c:v>
                </c:pt>
                <c:pt idx="4">
                  <c:v>2023</c:v>
                </c:pt>
                <c:pt idx="5">
                  <c:v>2024</c:v>
                </c:pt>
              </c:strCache>
            </c:strRef>
          </c:cat>
          <c:val>
            <c:numRef>
              <c:f>Dataset!$I$41:$I$47</c:f>
              <c:numCache>
                <c:formatCode>_-[$$-409]* #,##0_ ;_-[$$-409]* \-#,##0\ ;_-[$$-409]* "-"??_ ;_-@_ </c:formatCode>
                <c:ptCount val="6"/>
                <c:pt idx="0">
                  <c:v>55664</c:v>
                </c:pt>
                <c:pt idx="1">
                  <c:v>69328</c:v>
                </c:pt>
                <c:pt idx="2">
                  <c:v>70808</c:v>
                </c:pt>
                <c:pt idx="3">
                  <c:v>68504</c:v>
                </c:pt>
                <c:pt idx="4">
                  <c:v>76528</c:v>
                </c:pt>
                <c:pt idx="5">
                  <c:v>71920</c:v>
                </c:pt>
              </c:numCache>
            </c:numRef>
          </c:val>
          <c:smooth val="0"/>
          <c:extLst>
            <c:ext xmlns:c16="http://schemas.microsoft.com/office/drawing/2014/chart" uri="{C3380CC4-5D6E-409C-BE32-E72D297353CC}">
              <c16:uniqueId val="{00000004-626E-44EF-8F81-1E89C662F810}"/>
            </c:ext>
          </c:extLst>
        </c:ser>
        <c:dLbls>
          <c:showLegendKey val="0"/>
          <c:showVal val="0"/>
          <c:showCatName val="0"/>
          <c:showSerName val="0"/>
          <c:showPercent val="0"/>
          <c:showBubbleSize val="0"/>
        </c:dLbls>
        <c:marker val="1"/>
        <c:smooth val="0"/>
        <c:axId val="1975473440"/>
        <c:axId val="1975457120"/>
      </c:lineChart>
      <c:catAx>
        <c:axId val="19754734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57120"/>
        <c:crosses val="autoZero"/>
        <c:auto val="1"/>
        <c:lblAlgn val="ctr"/>
        <c:lblOffset val="100"/>
        <c:noMultiLvlLbl val="0"/>
      </c:catAx>
      <c:valAx>
        <c:axId val="1975457120"/>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5473440"/>
        <c:crosses val="autoZero"/>
        <c:crossBetween val="between"/>
      </c:valAx>
      <c:spPr>
        <a:noFill/>
        <a:ln>
          <a:noFill/>
        </a:ln>
        <a:effectLst/>
      </c:spPr>
    </c:plotArea>
    <c:legend>
      <c:legendPos val="t"/>
      <c:layout>
        <c:manualLayout>
          <c:xMode val="edge"/>
          <c:yMode val="edge"/>
          <c:x val="5.9678663550577098E-2"/>
          <c:y val="2.3223954198217364E-2"/>
          <c:w val="0.89999995427377844"/>
          <c:h val="6.5317828346939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2.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4.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455529</xdr:colOff>
      <xdr:row>6</xdr:row>
      <xdr:rowOff>71358</xdr:rowOff>
    </xdr:from>
    <xdr:to>
      <xdr:col>4</xdr:col>
      <xdr:colOff>430165</xdr:colOff>
      <xdr:row>11</xdr:row>
      <xdr:rowOff>53148</xdr:rowOff>
    </xdr:to>
    <xdr:sp macro="" textlink="Dataset!B32:B38">
      <xdr:nvSpPr>
        <xdr:cNvPr id="24" name="Rounded Rectangle 1">
          <a:extLst>
            <a:ext uri="{FF2B5EF4-FFF2-40B4-BE49-F238E27FC236}">
              <a16:creationId xmlns:a16="http://schemas.microsoft.com/office/drawing/2014/main" id="{87045D3D-2BA0-4BBD-BF54-76521F55AE15}"/>
            </a:ext>
          </a:extLst>
        </xdr:cNvPr>
        <xdr:cNvSpPr/>
      </xdr:nvSpPr>
      <xdr:spPr>
        <a:xfrm>
          <a:off x="1326386" y="1114572"/>
          <a:ext cx="1770779" cy="888933"/>
        </a:xfrm>
        <a:prstGeom prst="roundRect">
          <a:avLst/>
        </a:prstGeom>
        <a:solidFill>
          <a:srgbClr val="B2071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endParaRPr lang="en-US" sz="800" b="1" i="0" u="none" strike="noStrike">
            <a:solidFill>
              <a:schemeClr val="bg1"/>
            </a:solidFill>
            <a:latin typeface="Calibri"/>
            <a:ea typeface="Calibri"/>
            <a:cs typeface="Calibri"/>
          </a:endParaRPr>
        </a:p>
        <a:p>
          <a:pPr marL="0" indent="0" algn="ctr"/>
          <a:fld id="{0693129C-B4CE-455B-941C-C0EEA00B19ED}" type="TxLink">
            <a:rPr lang="en-US" sz="2000" b="1" i="0" u="none" strike="noStrike">
              <a:solidFill>
                <a:schemeClr val="bg1"/>
              </a:solidFill>
              <a:latin typeface="Calibri"/>
              <a:ea typeface="Calibri"/>
              <a:cs typeface="Calibri"/>
            </a:rPr>
            <a:pPr marL="0" indent="0" algn="ctr"/>
            <a:t>551.5</a:t>
          </a:fld>
          <a:r>
            <a:rPr lang="en-US" sz="2000" b="1" i="0" u="none" strike="noStrike">
              <a:solidFill>
                <a:schemeClr val="bg1"/>
              </a:solidFill>
              <a:latin typeface="Calibri"/>
              <a:ea typeface="Calibri"/>
              <a:cs typeface="Calibri"/>
            </a:rPr>
            <a:t>M</a:t>
          </a:r>
        </a:p>
      </xdr:txBody>
    </xdr:sp>
    <xdr:clientData/>
  </xdr:twoCellAnchor>
  <xdr:twoCellAnchor>
    <xdr:from>
      <xdr:col>1</xdr:col>
      <xdr:colOff>605898</xdr:colOff>
      <xdr:row>6</xdr:row>
      <xdr:rowOff>122683</xdr:rowOff>
    </xdr:from>
    <xdr:to>
      <xdr:col>4</xdr:col>
      <xdr:colOff>249930</xdr:colOff>
      <xdr:row>8</xdr:row>
      <xdr:rowOff>28469</xdr:rowOff>
    </xdr:to>
    <xdr:sp macro="" textlink="">
      <xdr:nvSpPr>
        <xdr:cNvPr id="25" name="Rectangle 7">
          <a:extLst>
            <a:ext uri="{FF2B5EF4-FFF2-40B4-BE49-F238E27FC236}">
              <a16:creationId xmlns:a16="http://schemas.microsoft.com/office/drawing/2014/main" id="{4CB98420-86E0-6994-F9CD-DF2AA8266381}"/>
            </a:ext>
          </a:extLst>
        </xdr:cNvPr>
        <xdr:cNvSpPr/>
      </xdr:nvSpPr>
      <xdr:spPr>
        <a:xfrm>
          <a:off x="1571098" y="1202183"/>
          <a:ext cx="1663332" cy="286786"/>
        </a:xfrm>
        <a:prstGeom prst="rect">
          <a:avLst/>
        </a:prstGeom>
        <a:solidFill>
          <a:srgbClr val="B207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20000"/>
                  <a:lumOff val="80000"/>
                </a:schemeClr>
              </a:solidFill>
            </a:rPr>
            <a:t>Total Subscribers</a:t>
          </a:r>
        </a:p>
        <a:p>
          <a:pPr algn="ctr"/>
          <a:r>
            <a:rPr lang="en-IN" sz="1400" b="1" baseline="0">
              <a:solidFill>
                <a:schemeClr val="accent6">
                  <a:lumMod val="20000"/>
                  <a:lumOff val="80000"/>
                </a:schemeClr>
              </a:solidFill>
            </a:rPr>
            <a:t> </a:t>
          </a:r>
          <a:endParaRPr lang="en-IN" sz="1400" b="1">
            <a:solidFill>
              <a:schemeClr val="accent6">
                <a:lumMod val="20000"/>
                <a:lumOff val="80000"/>
              </a:schemeClr>
            </a:solidFill>
          </a:endParaRPr>
        </a:p>
      </xdr:txBody>
    </xdr:sp>
    <xdr:clientData/>
  </xdr:twoCellAnchor>
  <xdr:twoCellAnchor>
    <xdr:from>
      <xdr:col>6</xdr:col>
      <xdr:colOff>387190</xdr:colOff>
      <xdr:row>6</xdr:row>
      <xdr:rowOff>84058</xdr:rowOff>
    </xdr:from>
    <xdr:to>
      <xdr:col>9</xdr:col>
      <xdr:colOff>361824</xdr:colOff>
      <xdr:row>11</xdr:row>
      <xdr:rowOff>65848</xdr:rowOff>
    </xdr:to>
    <xdr:sp macro="" textlink="Dataset!C32:C38">
      <xdr:nvSpPr>
        <xdr:cNvPr id="26" name="Rounded Rectangle 1">
          <a:extLst>
            <a:ext uri="{FF2B5EF4-FFF2-40B4-BE49-F238E27FC236}">
              <a16:creationId xmlns:a16="http://schemas.microsoft.com/office/drawing/2014/main" id="{2DC5F26F-16B0-39A8-7FF0-3DB5CF0E558F}"/>
            </a:ext>
          </a:extLst>
        </xdr:cNvPr>
        <xdr:cNvSpPr/>
      </xdr:nvSpPr>
      <xdr:spPr>
        <a:xfrm>
          <a:off x="4425790" y="1163558"/>
          <a:ext cx="1993934" cy="934290"/>
        </a:xfrm>
        <a:prstGeom prst="roundRect">
          <a:avLst/>
        </a:prstGeom>
        <a:solidFill>
          <a:srgbClr val="B2071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endParaRPr lang="en-US" sz="800" b="1" i="0" u="none" strike="noStrike">
            <a:solidFill>
              <a:schemeClr val="bg1"/>
            </a:solidFill>
            <a:latin typeface="Calibri"/>
            <a:ea typeface="Calibri"/>
            <a:cs typeface="Calibri"/>
          </a:endParaRPr>
        </a:p>
        <a:p>
          <a:pPr marL="0" indent="0" algn="ctr"/>
          <a:fld id="{D5A6259A-97EA-4E0F-A3AF-1848691CB1B5}" type="TxLink">
            <a:rPr lang="en-US" sz="2000" b="1" i="0" u="none" strike="noStrike">
              <a:solidFill>
                <a:schemeClr val="bg1"/>
              </a:solidFill>
              <a:latin typeface="Calibri"/>
              <a:ea typeface="Calibri"/>
              <a:cs typeface="Calibri"/>
            </a:rPr>
            <a:pPr marL="0" indent="0" algn="ctr"/>
            <a:t> $18,123 </a:t>
          </a:fld>
          <a:r>
            <a:rPr lang="en-US" sz="2000" b="1" i="0" u="none" strike="noStrike">
              <a:solidFill>
                <a:schemeClr val="bg1"/>
              </a:solidFill>
              <a:latin typeface="Calibri"/>
              <a:ea typeface="Calibri"/>
              <a:cs typeface="Calibri"/>
            </a:rPr>
            <a:t>M</a:t>
          </a:r>
        </a:p>
      </xdr:txBody>
    </xdr:sp>
    <xdr:clientData/>
  </xdr:twoCellAnchor>
  <xdr:twoCellAnchor>
    <xdr:from>
      <xdr:col>6</xdr:col>
      <xdr:colOff>571423</xdr:colOff>
      <xdr:row>6</xdr:row>
      <xdr:rowOff>126030</xdr:rowOff>
    </xdr:from>
    <xdr:to>
      <xdr:col>9</xdr:col>
      <xdr:colOff>46096</xdr:colOff>
      <xdr:row>8</xdr:row>
      <xdr:rowOff>22713</xdr:rowOff>
    </xdr:to>
    <xdr:sp macro="" textlink="">
      <xdr:nvSpPr>
        <xdr:cNvPr id="27" name="Rectangle 11">
          <a:extLst>
            <a:ext uri="{FF2B5EF4-FFF2-40B4-BE49-F238E27FC236}">
              <a16:creationId xmlns:a16="http://schemas.microsoft.com/office/drawing/2014/main" id="{E7C9E8FC-9F5E-98C1-5EA6-557CF01D20E6}"/>
            </a:ext>
          </a:extLst>
        </xdr:cNvPr>
        <xdr:cNvSpPr/>
      </xdr:nvSpPr>
      <xdr:spPr>
        <a:xfrm>
          <a:off x="4940828" y="1229720"/>
          <a:ext cx="1515744" cy="289779"/>
        </a:xfrm>
        <a:prstGeom prst="rect">
          <a:avLst/>
        </a:prstGeom>
        <a:solidFill>
          <a:srgbClr val="B207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20000"/>
                  <a:lumOff val="80000"/>
                </a:schemeClr>
              </a:solidFill>
            </a:rPr>
            <a:t>Total Revenue </a:t>
          </a:r>
        </a:p>
      </xdr:txBody>
    </xdr:sp>
    <xdr:clientData/>
  </xdr:twoCellAnchor>
  <xdr:twoCellAnchor>
    <xdr:from>
      <xdr:col>16</xdr:col>
      <xdr:colOff>250509</xdr:colOff>
      <xdr:row>6</xdr:row>
      <xdr:rowOff>84058</xdr:rowOff>
    </xdr:from>
    <xdr:to>
      <xdr:col>19</xdr:col>
      <xdr:colOff>225144</xdr:colOff>
      <xdr:row>11</xdr:row>
      <xdr:rowOff>65848</xdr:rowOff>
    </xdr:to>
    <xdr:sp macro="" textlink="Dataset!E32:E38">
      <xdr:nvSpPr>
        <xdr:cNvPr id="28" name="Rounded Rectangle 1">
          <a:extLst>
            <a:ext uri="{FF2B5EF4-FFF2-40B4-BE49-F238E27FC236}">
              <a16:creationId xmlns:a16="http://schemas.microsoft.com/office/drawing/2014/main" id="{0BB75E97-E67D-AAD9-D4FF-88AFA6F73A39}"/>
            </a:ext>
          </a:extLst>
        </xdr:cNvPr>
        <xdr:cNvSpPr/>
      </xdr:nvSpPr>
      <xdr:spPr>
        <a:xfrm>
          <a:off x="11020109" y="1163558"/>
          <a:ext cx="1993935" cy="934290"/>
        </a:xfrm>
        <a:prstGeom prst="roundRect">
          <a:avLst/>
        </a:prstGeom>
        <a:solidFill>
          <a:srgbClr val="B2071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endParaRPr lang="en-US" sz="800" b="1" i="0" u="none" strike="noStrike">
            <a:solidFill>
              <a:schemeClr val="bg1"/>
            </a:solidFill>
            <a:latin typeface="Calibri"/>
            <a:ea typeface="Calibri"/>
            <a:cs typeface="Calibri"/>
          </a:endParaRPr>
        </a:p>
        <a:p>
          <a:pPr algn="ctr"/>
          <a:fld id="{67A47E45-5795-477E-B995-80FC534BF928}" type="TxLink">
            <a:rPr lang="en-US" sz="2000" b="1" i="0" u="none" strike="noStrike">
              <a:solidFill>
                <a:schemeClr val="bg1"/>
              </a:solidFill>
              <a:latin typeface="Calibri"/>
              <a:ea typeface="Calibri"/>
              <a:cs typeface="Calibri"/>
            </a:rPr>
            <a:pPr algn="ctr"/>
            <a:t>37.20%</a:t>
          </a:fld>
          <a:endParaRPr lang="en-US" sz="2000" b="1">
            <a:solidFill>
              <a:schemeClr val="bg1"/>
            </a:solidFill>
          </a:endParaRPr>
        </a:p>
      </xdr:txBody>
    </xdr:sp>
    <xdr:clientData/>
  </xdr:twoCellAnchor>
  <xdr:twoCellAnchor>
    <xdr:from>
      <xdr:col>16</xdr:col>
      <xdr:colOff>420136</xdr:colOff>
      <xdr:row>6</xdr:row>
      <xdr:rowOff>165635</xdr:rowOff>
    </xdr:from>
    <xdr:to>
      <xdr:col>19</xdr:col>
      <xdr:colOff>40052</xdr:colOff>
      <xdr:row>8</xdr:row>
      <xdr:rowOff>71421</xdr:rowOff>
    </xdr:to>
    <xdr:sp macro="" textlink="">
      <xdr:nvSpPr>
        <xdr:cNvPr id="29" name="Rectangle 14">
          <a:extLst>
            <a:ext uri="{FF2B5EF4-FFF2-40B4-BE49-F238E27FC236}">
              <a16:creationId xmlns:a16="http://schemas.microsoft.com/office/drawing/2014/main" id="{91BF014A-6DBC-1B34-96FA-9B979ACB37AD}"/>
            </a:ext>
          </a:extLst>
        </xdr:cNvPr>
        <xdr:cNvSpPr/>
      </xdr:nvSpPr>
      <xdr:spPr>
        <a:xfrm>
          <a:off x="11189736" y="1245135"/>
          <a:ext cx="1639216" cy="286786"/>
        </a:xfrm>
        <a:prstGeom prst="rect">
          <a:avLst/>
        </a:prstGeom>
        <a:solidFill>
          <a:srgbClr val="B207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solidFill>
                <a:schemeClr val="accent6">
                  <a:lumMod val="20000"/>
                  <a:lumOff val="80000"/>
                </a:schemeClr>
              </a:solidFill>
            </a:rPr>
            <a:t>Profit</a:t>
          </a:r>
          <a:r>
            <a:rPr lang="en-IN" sz="1400" b="1" baseline="0">
              <a:solidFill>
                <a:schemeClr val="accent6">
                  <a:lumMod val="20000"/>
                  <a:lumOff val="80000"/>
                </a:schemeClr>
              </a:solidFill>
            </a:rPr>
            <a:t> Margin %</a:t>
          </a:r>
          <a:endParaRPr lang="en-IN" sz="1400" b="1">
            <a:solidFill>
              <a:schemeClr val="accent6">
                <a:lumMod val="20000"/>
                <a:lumOff val="80000"/>
              </a:schemeClr>
            </a:solidFill>
          </a:endParaRPr>
        </a:p>
      </xdr:txBody>
    </xdr:sp>
    <xdr:clientData/>
  </xdr:twoCellAnchor>
  <xdr:twoCellAnchor>
    <xdr:from>
      <xdr:col>11</xdr:col>
      <xdr:colOff>318849</xdr:colOff>
      <xdr:row>6</xdr:row>
      <xdr:rowOff>84058</xdr:rowOff>
    </xdr:from>
    <xdr:to>
      <xdr:col>14</xdr:col>
      <xdr:colOff>293484</xdr:colOff>
      <xdr:row>11</xdr:row>
      <xdr:rowOff>65848</xdr:rowOff>
    </xdr:to>
    <xdr:sp macro="" textlink="Dataset!D32:D38">
      <xdr:nvSpPr>
        <xdr:cNvPr id="30" name="Rounded Rectangle 1">
          <a:extLst>
            <a:ext uri="{FF2B5EF4-FFF2-40B4-BE49-F238E27FC236}">
              <a16:creationId xmlns:a16="http://schemas.microsoft.com/office/drawing/2014/main" id="{8C0C0CEF-8D01-D5DA-957B-133DB8B47BB0}"/>
            </a:ext>
          </a:extLst>
        </xdr:cNvPr>
        <xdr:cNvSpPr/>
      </xdr:nvSpPr>
      <xdr:spPr>
        <a:xfrm>
          <a:off x="7722949" y="1163558"/>
          <a:ext cx="1993935" cy="934290"/>
        </a:xfrm>
        <a:prstGeom prst="roundRect">
          <a:avLst/>
        </a:prstGeom>
        <a:solidFill>
          <a:srgbClr val="B2071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endParaRPr lang="en-US" sz="800" b="1" i="0" u="none" strike="noStrike">
            <a:solidFill>
              <a:schemeClr val="bg1"/>
            </a:solidFill>
            <a:latin typeface="Calibri"/>
            <a:ea typeface="Calibri"/>
            <a:cs typeface="Calibri"/>
          </a:endParaRPr>
        </a:p>
        <a:p>
          <a:pPr marL="0" indent="0" algn="ctr"/>
          <a:fld id="{73F5768D-2331-463A-8522-2CCB292F2B40}" type="TxLink">
            <a:rPr lang="en-US" sz="2000" b="1" i="0" u="none" strike="noStrike">
              <a:solidFill>
                <a:schemeClr val="bg1"/>
              </a:solidFill>
              <a:latin typeface="Calibri"/>
              <a:ea typeface="Calibri"/>
              <a:cs typeface="Calibri"/>
            </a:rPr>
            <a:pPr marL="0" indent="0" algn="ctr"/>
            <a:t> $7,464 </a:t>
          </a:fld>
          <a:r>
            <a:rPr lang="en-US" sz="2000" b="1" i="0" u="none" strike="noStrike">
              <a:solidFill>
                <a:schemeClr val="bg1"/>
              </a:solidFill>
              <a:latin typeface="Calibri"/>
              <a:ea typeface="Calibri"/>
              <a:cs typeface="Calibri"/>
            </a:rPr>
            <a:t>M</a:t>
          </a:r>
        </a:p>
      </xdr:txBody>
    </xdr:sp>
    <xdr:clientData/>
  </xdr:twoCellAnchor>
  <xdr:twoCellAnchor>
    <xdr:from>
      <xdr:col>11</xdr:col>
      <xdr:colOff>543124</xdr:colOff>
      <xdr:row>6</xdr:row>
      <xdr:rowOff>152736</xdr:rowOff>
    </xdr:from>
    <xdr:to>
      <xdr:col>14</xdr:col>
      <xdr:colOff>261541</xdr:colOff>
      <xdr:row>8</xdr:row>
      <xdr:rowOff>58522</xdr:rowOff>
    </xdr:to>
    <xdr:sp macro="" textlink="">
      <xdr:nvSpPr>
        <xdr:cNvPr id="31" name="Rectangle 17">
          <a:extLst>
            <a:ext uri="{FF2B5EF4-FFF2-40B4-BE49-F238E27FC236}">
              <a16:creationId xmlns:a16="http://schemas.microsoft.com/office/drawing/2014/main" id="{B0F9485D-CC43-D884-4CD9-0DAE614D5182}"/>
            </a:ext>
          </a:extLst>
        </xdr:cNvPr>
        <xdr:cNvSpPr/>
      </xdr:nvSpPr>
      <xdr:spPr>
        <a:xfrm>
          <a:off x="7947224" y="1232236"/>
          <a:ext cx="1737717" cy="286786"/>
        </a:xfrm>
        <a:prstGeom prst="rect">
          <a:avLst/>
        </a:prstGeom>
        <a:solidFill>
          <a:srgbClr val="B207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6">
                  <a:lumMod val="20000"/>
                  <a:lumOff val="80000"/>
                </a:schemeClr>
              </a:solidFill>
            </a:rPr>
            <a:t>Net</a:t>
          </a:r>
          <a:r>
            <a:rPr lang="en-IN" sz="1400" b="1" baseline="0">
              <a:solidFill>
                <a:schemeClr val="accent6">
                  <a:lumMod val="20000"/>
                  <a:lumOff val="80000"/>
                </a:schemeClr>
              </a:solidFill>
            </a:rPr>
            <a:t> Profit </a:t>
          </a:r>
          <a:endParaRPr lang="en-IN" sz="1400" b="1">
            <a:solidFill>
              <a:schemeClr val="accent6">
                <a:lumMod val="20000"/>
                <a:lumOff val="80000"/>
              </a:schemeClr>
            </a:solidFill>
          </a:endParaRPr>
        </a:p>
      </xdr:txBody>
    </xdr:sp>
    <xdr:clientData/>
  </xdr:twoCellAnchor>
  <xdr:twoCellAnchor>
    <xdr:from>
      <xdr:col>21</xdr:col>
      <xdr:colOff>182170</xdr:colOff>
      <xdr:row>6</xdr:row>
      <xdr:rowOff>58658</xdr:rowOff>
    </xdr:from>
    <xdr:to>
      <xdr:col>24</xdr:col>
      <xdr:colOff>156806</xdr:colOff>
      <xdr:row>11</xdr:row>
      <xdr:rowOff>40448</xdr:rowOff>
    </xdr:to>
    <xdr:sp macro="" textlink="Dataset!H32:H38">
      <xdr:nvSpPr>
        <xdr:cNvPr id="39" name="Rounded Rectangle 1">
          <a:extLst>
            <a:ext uri="{FF2B5EF4-FFF2-40B4-BE49-F238E27FC236}">
              <a16:creationId xmlns:a16="http://schemas.microsoft.com/office/drawing/2014/main" id="{6C8C8D29-137E-8822-9A63-0ED0D8A7E0A4}"/>
            </a:ext>
          </a:extLst>
        </xdr:cNvPr>
        <xdr:cNvSpPr/>
      </xdr:nvSpPr>
      <xdr:spPr>
        <a:xfrm>
          <a:off x="14317270" y="1138158"/>
          <a:ext cx="1993936" cy="934290"/>
        </a:xfrm>
        <a:prstGeom prst="roundRect">
          <a:avLst/>
        </a:prstGeom>
        <a:solidFill>
          <a:srgbClr val="B2071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fld id="{1D4DC937-715D-4E59-AC1F-52690AC178FC}" type="TxLink">
            <a:rPr lang="en-US" sz="1800" b="0" i="0" u="none" strike="noStrike">
              <a:solidFill>
                <a:schemeClr val="bg1"/>
              </a:solidFill>
              <a:latin typeface="Calibri"/>
              <a:ea typeface="Calibri"/>
              <a:cs typeface="Calibri"/>
            </a:rPr>
            <a:pPr marL="0" indent="0" algn="ctr"/>
            <a:t> $41,388 </a:t>
          </a:fld>
          <a:endParaRPr lang="en-US" sz="1800" b="1" i="0" u="none" strike="noStrike">
            <a:solidFill>
              <a:schemeClr val="bg1"/>
            </a:solidFill>
            <a:latin typeface="Calibri"/>
            <a:ea typeface="Calibri"/>
            <a:cs typeface="Calibri"/>
          </a:endParaRPr>
        </a:p>
      </xdr:txBody>
    </xdr:sp>
    <xdr:clientData/>
  </xdr:twoCellAnchor>
  <xdr:twoCellAnchor>
    <xdr:from>
      <xdr:col>21</xdr:col>
      <xdr:colOff>287182</xdr:colOff>
      <xdr:row>6</xdr:row>
      <xdr:rowOff>143807</xdr:rowOff>
    </xdr:from>
    <xdr:to>
      <xdr:col>23</xdr:col>
      <xdr:colOff>441960</xdr:colOff>
      <xdr:row>8</xdr:row>
      <xdr:rowOff>49593</xdr:rowOff>
    </xdr:to>
    <xdr:sp macro="" textlink="">
      <xdr:nvSpPr>
        <xdr:cNvPr id="40" name="Rectangle 14">
          <a:extLst>
            <a:ext uri="{FF2B5EF4-FFF2-40B4-BE49-F238E27FC236}">
              <a16:creationId xmlns:a16="http://schemas.microsoft.com/office/drawing/2014/main" id="{E699C252-4227-3C96-67BA-08E6F313250F}"/>
            </a:ext>
          </a:extLst>
        </xdr:cNvPr>
        <xdr:cNvSpPr/>
      </xdr:nvSpPr>
      <xdr:spPr>
        <a:xfrm>
          <a:off x="14422282" y="1223307"/>
          <a:ext cx="1500978" cy="286786"/>
        </a:xfrm>
        <a:prstGeom prst="rect">
          <a:avLst/>
        </a:prstGeom>
        <a:solidFill>
          <a:srgbClr val="B207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baseline="0">
              <a:solidFill>
                <a:schemeClr val="accent6">
                  <a:lumMod val="20000"/>
                  <a:lumOff val="80000"/>
                </a:schemeClr>
              </a:solidFill>
            </a:rPr>
            <a:t>Content Cost </a:t>
          </a:r>
          <a:endParaRPr lang="en-IN" sz="1400" b="1">
            <a:solidFill>
              <a:schemeClr val="accent6">
                <a:lumMod val="20000"/>
                <a:lumOff val="80000"/>
              </a:schemeClr>
            </a:solidFill>
          </a:endParaRPr>
        </a:p>
      </xdr:txBody>
    </xdr:sp>
    <xdr:clientData/>
  </xdr:twoCellAnchor>
  <xdr:twoCellAnchor>
    <xdr:from>
      <xdr:col>0</xdr:col>
      <xdr:colOff>361732</xdr:colOff>
      <xdr:row>28</xdr:row>
      <xdr:rowOff>52729</xdr:rowOff>
    </xdr:from>
    <xdr:to>
      <xdr:col>3</xdr:col>
      <xdr:colOff>444500</xdr:colOff>
      <xdr:row>40</xdr:row>
      <xdr:rowOff>12700</xdr:rowOff>
    </xdr:to>
    <xdr:grpSp>
      <xdr:nvGrpSpPr>
        <xdr:cNvPr id="45" name="Group 44">
          <a:extLst>
            <a:ext uri="{FF2B5EF4-FFF2-40B4-BE49-F238E27FC236}">
              <a16:creationId xmlns:a16="http://schemas.microsoft.com/office/drawing/2014/main" id="{8DCA3879-5D04-32C6-4A8B-76523BF98B15}"/>
            </a:ext>
          </a:extLst>
        </xdr:cNvPr>
        <xdr:cNvGrpSpPr/>
      </xdr:nvGrpSpPr>
      <xdr:grpSpPr>
        <a:xfrm>
          <a:off x="361732" y="5480467"/>
          <a:ext cx="2411101" cy="2318543"/>
          <a:chOff x="237112" y="1216818"/>
          <a:chExt cx="1833664" cy="2052638"/>
        </a:xfrm>
        <a:solidFill>
          <a:srgbClr val="B20710"/>
        </a:solidFill>
      </xdr:grpSpPr>
      <xdr:sp macro="" textlink="">
        <xdr:nvSpPr>
          <xdr:cNvPr id="44" name="Rectangle 43">
            <a:extLst>
              <a:ext uri="{FF2B5EF4-FFF2-40B4-BE49-F238E27FC236}">
                <a16:creationId xmlns:a16="http://schemas.microsoft.com/office/drawing/2014/main" id="{DE7FAE28-5D1B-E039-3ABF-209A14083FB8}"/>
              </a:ext>
            </a:extLst>
          </xdr:cNvPr>
          <xdr:cNvSpPr/>
        </xdr:nvSpPr>
        <xdr:spPr>
          <a:xfrm>
            <a:off x="237112" y="1216818"/>
            <a:ext cx="1833664" cy="2052638"/>
          </a:xfrm>
          <a:prstGeom prst="rect">
            <a:avLst/>
          </a:prstGeom>
          <a:grpFill/>
          <a:ln>
            <a:solidFill>
              <a:srgbClr val="B2071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C88DEE50-060D-4EC4-A50D-F40C3EFA8F02}"/>
                  </a:ext>
                </a:extLst>
              </xdr:cNvPr>
              <xdr:cNvGraphicFramePr/>
            </xdr:nvGraphicFramePr>
            <xdr:xfrm>
              <a:off x="241737" y="1233797"/>
              <a:ext cx="1826670" cy="2024242"/>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7771" y="5341807"/>
                <a:ext cx="2385036" cy="221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419389</xdr:colOff>
      <xdr:row>17</xdr:row>
      <xdr:rowOff>16076</xdr:rowOff>
    </xdr:from>
    <xdr:to>
      <xdr:col>3</xdr:col>
      <xdr:colOff>424615</xdr:colOff>
      <xdr:row>25</xdr:row>
      <xdr:rowOff>172633</xdr:rowOff>
    </xdr:to>
    <xdr:grpSp>
      <xdr:nvGrpSpPr>
        <xdr:cNvPr id="49" name="Group 48">
          <a:extLst>
            <a:ext uri="{FF2B5EF4-FFF2-40B4-BE49-F238E27FC236}">
              <a16:creationId xmlns:a16="http://schemas.microsoft.com/office/drawing/2014/main" id="{99BFFAC3-D22C-CD87-9C7E-7FEE51ED2060}"/>
            </a:ext>
          </a:extLst>
        </xdr:cNvPr>
        <xdr:cNvGrpSpPr/>
      </xdr:nvGrpSpPr>
      <xdr:grpSpPr>
        <a:xfrm>
          <a:off x="419389" y="3281790"/>
          <a:ext cx="2333559" cy="1728938"/>
          <a:chOff x="249246" y="3333325"/>
          <a:chExt cx="1837970" cy="1527035"/>
        </a:xfrm>
      </xdr:grpSpPr>
      <mc:AlternateContent xmlns:mc="http://schemas.openxmlformats.org/markup-compatibility/2006" xmlns:a14="http://schemas.microsoft.com/office/drawing/2010/main">
        <mc:Choice Requires="a14">
          <xdr:graphicFrame macro="">
            <xdr:nvGraphicFramePr>
              <xdr:cNvPr id="42" name="Quarter">
                <a:extLst>
                  <a:ext uri="{FF2B5EF4-FFF2-40B4-BE49-F238E27FC236}">
                    <a16:creationId xmlns:a16="http://schemas.microsoft.com/office/drawing/2014/main" id="{3E4ED0C0-92B8-4D09-B06B-39F57E0228D2}"/>
                  </a:ext>
                </a:extLst>
              </xdr:cNvPr>
              <xdr:cNvGraphicFramePr/>
            </xdr:nvGraphicFramePr>
            <xdr:xfrm>
              <a:off x="255985" y="3336520"/>
              <a:ext cx="1829533" cy="1468385"/>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27883" y="3194592"/>
                <a:ext cx="2305992" cy="1616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7" name="Rectangle 46">
            <a:extLst>
              <a:ext uri="{FF2B5EF4-FFF2-40B4-BE49-F238E27FC236}">
                <a16:creationId xmlns:a16="http://schemas.microsoft.com/office/drawing/2014/main" id="{50ECA67A-E42E-F3FB-8882-2E61EE45DD2A}"/>
              </a:ext>
            </a:extLst>
          </xdr:cNvPr>
          <xdr:cNvSpPr/>
        </xdr:nvSpPr>
        <xdr:spPr>
          <a:xfrm>
            <a:off x="249246" y="3333325"/>
            <a:ext cx="1837970" cy="1527035"/>
          </a:xfrm>
          <a:prstGeom prst="rect">
            <a:avLst/>
          </a:prstGeom>
          <a:noFill/>
          <a:ln>
            <a:solidFill>
              <a:srgbClr val="B20710"/>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grpSp>
    <xdr:clientData/>
  </xdr:twoCellAnchor>
  <xdr:twoCellAnchor editAs="oneCell">
    <xdr:from>
      <xdr:col>0</xdr:col>
      <xdr:colOff>219808</xdr:colOff>
      <xdr:row>0</xdr:row>
      <xdr:rowOff>152402</xdr:rowOff>
    </xdr:from>
    <xdr:to>
      <xdr:col>2</xdr:col>
      <xdr:colOff>452316</xdr:colOff>
      <xdr:row>4</xdr:row>
      <xdr:rowOff>71610</xdr:rowOff>
    </xdr:to>
    <xdr:pic>
      <xdr:nvPicPr>
        <xdr:cNvPr id="3" name="Picture 1">
          <a:extLst>
            <a:ext uri="{FF2B5EF4-FFF2-40B4-BE49-F238E27FC236}">
              <a16:creationId xmlns:a16="http://schemas.microsoft.com/office/drawing/2014/main" id="{28F3DD5C-B095-1734-3AF9-020EE9B71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808" y="152402"/>
          <a:ext cx="1870808" cy="630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607443</xdr:colOff>
      <xdr:row>12</xdr:row>
      <xdr:rowOff>144691</xdr:rowOff>
    </xdr:from>
    <xdr:to>
      <xdr:col>25</xdr:col>
      <xdr:colOff>393700</xdr:colOff>
      <xdr:row>28</xdr:row>
      <xdr:rowOff>107831</xdr:rowOff>
    </xdr:to>
    <xdr:graphicFrame macro="">
      <xdr:nvGraphicFramePr>
        <xdr:cNvPr id="5" name="Chart 4">
          <a:extLst>
            <a:ext uri="{FF2B5EF4-FFF2-40B4-BE49-F238E27FC236}">
              <a16:creationId xmlns:a16="http://schemas.microsoft.com/office/drawing/2014/main" id="{95E60CB3-9512-440D-9AB3-14D9CDEFC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491696</xdr:colOff>
      <xdr:row>29</xdr:row>
      <xdr:rowOff>130707</xdr:rowOff>
    </xdr:from>
    <xdr:to>
      <xdr:col>14</xdr:col>
      <xdr:colOff>391544</xdr:colOff>
      <xdr:row>46</xdr:row>
      <xdr:rowOff>1</xdr:rowOff>
    </xdr:to>
    <xdr:graphicFrame macro="">
      <xdr:nvGraphicFramePr>
        <xdr:cNvPr id="6" name="Chart 5">
          <a:extLst>
            <a:ext uri="{FF2B5EF4-FFF2-40B4-BE49-F238E27FC236}">
              <a16:creationId xmlns:a16="http://schemas.microsoft.com/office/drawing/2014/main" id="{2C56050B-B315-4A99-83ED-1B261EB3F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497261</xdr:colOff>
      <xdr:row>12</xdr:row>
      <xdr:rowOff>119530</xdr:rowOff>
    </xdr:from>
    <xdr:to>
      <xdr:col>14</xdr:col>
      <xdr:colOff>390824</xdr:colOff>
      <xdr:row>28</xdr:row>
      <xdr:rowOff>94411</xdr:rowOff>
    </xdr:to>
    <xdr:graphicFrame macro="">
      <xdr:nvGraphicFramePr>
        <xdr:cNvPr id="7" name="Chart 6">
          <a:extLst>
            <a:ext uri="{FF2B5EF4-FFF2-40B4-BE49-F238E27FC236}">
              <a16:creationId xmlns:a16="http://schemas.microsoft.com/office/drawing/2014/main" id="{4B1E317F-DB48-45F5-9A48-2E17DC5A0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602972</xdr:colOff>
      <xdr:row>29</xdr:row>
      <xdr:rowOff>153417</xdr:rowOff>
    </xdr:from>
    <xdr:to>
      <xdr:col>25</xdr:col>
      <xdr:colOff>389626</xdr:colOff>
      <xdr:row>45</xdr:row>
      <xdr:rowOff>167017</xdr:rowOff>
    </xdr:to>
    <xdr:graphicFrame macro="">
      <xdr:nvGraphicFramePr>
        <xdr:cNvPr id="8" name="Chart 7">
          <a:extLst>
            <a:ext uri="{FF2B5EF4-FFF2-40B4-BE49-F238E27FC236}">
              <a16:creationId xmlns:a16="http://schemas.microsoft.com/office/drawing/2014/main" id="{54536EF6-824E-4BCF-91F2-3CBCE541C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561847</xdr:colOff>
      <xdr:row>6</xdr:row>
      <xdr:rowOff>130631</xdr:rowOff>
    </xdr:from>
    <xdr:to>
      <xdr:col>2</xdr:col>
      <xdr:colOff>264070</xdr:colOff>
      <xdr:row>8</xdr:row>
      <xdr:rowOff>113531</xdr:rowOff>
    </xdr:to>
    <xdr:pic>
      <xdr:nvPicPr>
        <xdr:cNvPr id="4" name="Graphic 3" descr="Follow with solid fill">
          <a:extLst>
            <a:ext uri="{FF2B5EF4-FFF2-40B4-BE49-F238E27FC236}">
              <a16:creationId xmlns:a16="http://schemas.microsoft.com/office/drawing/2014/main" id="{6B1EFD6F-2640-7D11-2228-035F2E740F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32704" y="1173845"/>
          <a:ext cx="300937" cy="345757"/>
        </a:xfrm>
        <a:prstGeom prst="rect">
          <a:avLst/>
        </a:prstGeom>
      </xdr:spPr>
    </xdr:pic>
    <xdr:clientData/>
  </xdr:twoCellAnchor>
  <xdr:twoCellAnchor editAs="oneCell">
    <xdr:from>
      <xdr:col>6</xdr:col>
      <xdr:colOff>520364</xdr:colOff>
      <xdr:row>6</xdr:row>
      <xdr:rowOff>139701</xdr:rowOff>
    </xdr:from>
    <xdr:to>
      <xdr:col>7</xdr:col>
      <xdr:colOff>199571</xdr:colOff>
      <xdr:row>8</xdr:row>
      <xdr:rowOff>117439</xdr:rowOff>
    </xdr:to>
    <xdr:pic>
      <xdr:nvPicPr>
        <xdr:cNvPr id="10" name="Graphic 9" descr="Coins with solid fill">
          <a:extLst>
            <a:ext uri="{FF2B5EF4-FFF2-40B4-BE49-F238E27FC236}">
              <a16:creationId xmlns:a16="http://schemas.microsoft.com/office/drawing/2014/main" id="{7F51DE01-F675-B580-4ACC-54464BECF2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84793" y="1182915"/>
          <a:ext cx="277921" cy="340595"/>
        </a:xfrm>
        <a:prstGeom prst="rect">
          <a:avLst/>
        </a:prstGeom>
      </xdr:spPr>
    </xdr:pic>
    <xdr:clientData/>
  </xdr:twoCellAnchor>
  <xdr:twoCellAnchor editAs="oneCell">
    <xdr:from>
      <xdr:col>11</xdr:col>
      <xdr:colOff>591599</xdr:colOff>
      <xdr:row>6</xdr:row>
      <xdr:rowOff>110982</xdr:rowOff>
    </xdr:from>
    <xdr:to>
      <xdr:col>12</xdr:col>
      <xdr:colOff>309034</xdr:colOff>
      <xdr:row>8</xdr:row>
      <xdr:rowOff>120147</xdr:rowOff>
    </xdr:to>
    <xdr:pic>
      <xdr:nvPicPr>
        <xdr:cNvPr id="12" name="Graphic 11" descr="Money with solid fill">
          <a:extLst>
            <a:ext uri="{FF2B5EF4-FFF2-40B4-BE49-F238E27FC236}">
              <a16:creationId xmlns:a16="http://schemas.microsoft.com/office/drawing/2014/main" id="{84F73A15-CE75-64F7-E45A-EB6585D5DA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995699" y="1190482"/>
          <a:ext cx="390535" cy="390165"/>
        </a:xfrm>
        <a:prstGeom prst="rect">
          <a:avLst/>
        </a:prstGeom>
      </xdr:spPr>
    </xdr:pic>
    <xdr:clientData/>
  </xdr:twoCellAnchor>
  <xdr:twoCellAnchor editAs="oneCell">
    <xdr:from>
      <xdr:col>16</xdr:col>
      <xdr:colOff>314910</xdr:colOff>
      <xdr:row>6</xdr:row>
      <xdr:rowOff>148275</xdr:rowOff>
    </xdr:from>
    <xdr:to>
      <xdr:col>17</xdr:col>
      <xdr:colOff>32579</xdr:colOff>
      <xdr:row>8</xdr:row>
      <xdr:rowOff>93133</xdr:rowOff>
    </xdr:to>
    <xdr:pic>
      <xdr:nvPicPr>
        <xdr:cNvPr id="14" name="Graphic 13" descr="Calculator with solid fill">
          <a:extLst>
            <a:ext uri="{FF2B5EF4-FFF2-40B4-BE49-F238E27FC236}">
              <a16:creationId xmlns:a16="http://schemas.microsoft.com/office/drawing/2014/main" id="{CE7CFCC7-5854-E7F3-E368-9AB5A68189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166481" y="1191489"/>
          <a:ext cx="316384" cy="307715"/>
        </a:xfrm>
        <a:prstGeom prst="rect">
          <a:avLst/>
        </a:prstGeom>
      </xdr:spPr>
    </xdr:pic>
    <xdr:clientData/>
  </xdr:twoCellAnchor>
  <xdr:twoCellAnchor editAs="oneCell">
    <xdr:from>
      <xdr:col>21</xdr:col>
      <xdr:colOff>303107</xdr:colOff>
      <xdr:row>6</xdr:row>
      <xdr:rowOff>116840</xdr:rowOff>
    </xdr:from>
    <xdr:to>
      <xdr:col>21</xdr:col>
      <xdr:colOff>581781</xdr:colOff>
      <xdr:row>8</xdr:row>
      <xdr:rowOff>97159</xdr:rowOff>
    </xdr:to>
    <xdr:pic>
      <xdr:nvPicPr>
        <xdr:cNvPr id="16" name="Graphic 15" descr="Bar graph with downward trend with solid fill">
          <a:extLst>
            <a:ext uri="{FF2B5EF4-FFF2-40B4-BE49-F238E27FC236}">
              <a16:creationId xmlns:a16="http://schemas.microsoft.com/office/drawing/2014/main" id="{7887A7A2-6CB5-83A0-6D0C-50FD84C3161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148250" y="1160054"/>
          <a:ext cx="278674" cy="343176"/>
        </a:xfrm>
        <a:prstGeom prst="rect">
          <a:avLst/>
        </a:prstGeom>
      </xdr:spPr>
    </xdr:pic>
    <xdr:clientData/>
  </xdr:twoCellAnchor>
  <xdr:twoCellAnchor>
    <xdr:from>
      <xdr:col>0</xdr:col>
      <xdr:colOff>419100</xdr:colOff>
      <xdr:row>12</xdr:row>
      <xdr:rowOff>139700</xdr:rowOff>
    </xdr:from>
    <xdr:to>
      <xdr:col>3</xdr:col>
      <xdr:colOff>431800</xdr:colOff>
      <xdr:row>14</xdr:row>
      <xdr:rowOff>88900</xdr:rowOff>
    </xdr:to>
    <xdr:sp macro="" textlink="">
      <xdr:nvSpPr>
        <xdr:cNvPr id="17" name="Rectangle 16">
          <a:extLst>
            <a:ext uri="{FF2B5EF4-FFF2-40B4-BE49-F238E27FC236}">
              <a16:creationId xmlns:a16="http://schemas.microsoft.com/office/drawing/2014/main" id="{FD93701A-E598-AC16-828E-2FE7C221C326}"/>
            </a:ext>
          </a:extLst>
        </xdr:cNvPr>
        <xdr:cNvSpPr/>
      </xdr:nvSpPr>
      <xdr:spPr>
        <a:xfrm>
          <a:off x="419100" y="2362200"/>
          <a:ext cx="2324100" cy="330200"/>
        </a:xfrm>
        <a:prstGeom prst="rect">
          <a:avLst/>
        </a:prstGeom>
        <a:solidFill>
          <a:srgbClr val="B20710"/>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2000" b="1" cap="none" spc="50">
              <a:ln w="0"/>
              <a:solidFill>
                <a:schemeClr val="bg2"/>
              </a:solidFill>
              <a:effectLst>
                <a:innerShdw blurRad="63500" dist="50800" dir="13500000">
                  <a:srgbClr val="000000">
                    <a:alpha val="50000"/>
                  </a:srgbClr>
                </a:innerShdw>
              </a:effectLst>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mila Mahor" refreshedDate="46122.55734965278" createdVersion="8" refreshedVersion="8" minRefreshableVersion="3" recordCount="6" xr:uid="{5CBA2963-5727-4685-84BE-D48E6EFE7C28}">
  <cacheSource type="worksheet">
    <worksheetSource ref="A4:I10" sheet="Annual KPIs"/>
  </cacheSource>
  <cacheFields count="9">
    <cacheField name="Year" numFmtId="0">
      <sharedItems containsSemiMixedTypes="0" containsString="0" containsNumber="1" containsInteger="1" minValue="2019" maxValue="2024" count="6">
        <n v="2019"/>
        <n v="2020"/>
        <n v="2021"/>
        <n v="2022"/>
        <n v="2023"/>
        <n v="2024"/>
      </sharedItems>
    </cacheField>
    <cacheField name="Total Revenue ($M)" numFmtId="3">
      <sharedItems containsSemiMixedTypes="0" containsString="0" containsNumber="1" containsInteger="1" minValue="20157" maxValue="38948" count="6">
        <n v="20157"/>
        <n v="24996"/>
        <n v="29698"/>
        <n v="31616"/>
        <n v="33723"/>
        <n v="38948"/>
      </sharedItems>
    </cacheField>
    <cacheField name="Total Subscribers (M)" numFmtId="164">
      <sharedItems containsSemiMixedTypes="0" containsString="0" containsNumber="1" minValue="167.1" maxValue="301.60000000000002"/>
    </cacheField>
    <cacheField name="Net Profit ($M)" numFmtId="3">
      <sharedItems containsSemiMixedTypes="0" containsString="0" containsNumber="1" containsInteger="1" minValue="1625" maxValue="8884"/>
    </cacheField>
    <cacheField name="Op Income ($M)" numFmtId="3">
      <sharedItems containsSemiMixedTypes="0" containsString="0" containsNumber="1" containsInteger="1" minValue="2604" maxValue="10419"/>
    </cacheField>
    <cacheField name="Content Cost ($M)" numFmtId="3">
      <sharedItems containsSemiMixedTypes="0" containsString="0" containsNumber="1" containsInteger="1" minValue="13916" maxValue="19132"/>
    </cacheField>
    <cacheField name="Op Margin %" numFmtId="166">
      <sharedItems containsSemiMixedTypes="0" containsString="0" containsNumber="1" minValue="0.129" maxValue="0.26700000000000002"/>
    </cacheField>
    <cacheField name="Rev Growth YoY %" numFmtId="0">
      <sharedItems containsMixedTypes="1" containsNumber="1" minValue="6.4000000000000001E-2" maxValue="0.24" count="6">
        <s v="N/A"/>
        <n v="0.24"/>
        <n v="0.188"/>
        <n v="6.4000000000000001E-2"/>
        <n v="6.7000000000000004E-2"/>
        <n v="0.155"/>
      </sharedItems>
    </cacheField>
    <cacheField name="Profit Margin %" numFmtId="166">
      <sharedItems containsSemiMixedTypes="0" containsString="0" containsNumber="1" minValue="5.0999999999999997E-2" maxValue="0.22800000000000001"/>
    </cacheField>
  </cacheFields>
  <extLst>
    <ext xmlns:x14="http://schemas.microsoft.com/office/spreadsheetml/2009/9/main" uri="{725AE2AE-9491-48be-B2B4-4EB974FC3084}">
      <x14:pivotCacheDefinition pivotCacheId="8418699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mila Mahor" refreshedDate="46122.602009027774" createdVersion="8" refreshedVersion="8" minRefreshableVersion="3" recordCount="24" xr:uid="{E359944A-C86A-4BF5-A548-8326355664B3}">
  <cacheSource type="worksheet">
    <worksheetSource name="Table1"/>
  </cacheSource>
  <cacheFields count="17">
    <cacheField name="Year" numFmtId="0">
      <sharedItems containsSemiMixedTypes="0" containsString="0" containsNumber="1" containsInteger="1" minValue="2019" maxValue="2024" count="6">
        <n v="2019"/>
        <n v="2020"/>
        <n v="2021"/>
        <n v="2022"/>
        <n v="2023"/>
        <n v="2024"/>
      </sharedItems>
    </cacheField>
    <cacheField name="Quarter" numFmtId="0">
      <sharedItems count="4">
        <s v="Q1"/>
        <s v="Q2"/>
        <s v="Q3"/>
        <s v="Q4"/>
      </sharedItems>
    </cacheField>
    <cacheField name="Year-Quarter" numFmtId="0">
      <sharedItems count="24">
        <s v="2019-Q1"/>
        <s v="2019-Q2"/>
        <s v="2019-Q3"/>
        <s v="2019-Q4"/>
        <s v="2020-Q1"/>
        <s v="2020-Q2"/>
        <s v="2020-Q3"/>
        <s v="2020-Q4"/>
        <s v="2021-Q1"/>
        <s v="2021-Q2"/>
        <s v="2021-Q3"/>
        <s v="2021-Q4"/>
        <s v="2022-Q1"/>
        <s v="2022-Q2"/>
        <s v="2022-Q3"/>
        <s v="2022-Q4"/>
        <s v="2023-Q1"/>
        <s v="2023-Q2"/>
        <s v="2023-Q3"/>
        <s v="2023-Q4"/>
        <s v="2024-Q1"/>
        <s v="2024-Q2"/>
        <s v="2024-Q3"/>
        <s v="2024-Q4"/>
      </sharedItems>
    </cacheField>
    <cacheField name="Total Revenue ($M)" numFmtId="0">
      <sharedItems containsSemiMixedTypes="0" containsString="0" containsNumber="1" containsInteger="1" minValue="4099" maxValue="12303"/>
    </cacheField>
    <cacheField name="Total Subscribers (M)" numFmtId="0">
      <sharedItems containsSemiMixedTypes="0" containsString="0" containsNumber="1" minValue="132.69999999999999" maxValue="323.89999999999998"/>
    </cacheField>
    <cacheField name="Net Profit ($M)" numFmtId="0">
      <sharedItems containsSemiMixedTypes="0" containsString="0" containsNumber="1" containsInteger="1" minValue="-3880" maxValue="9456"/>
    </cacheField>
    <cacheField name="Op Income ($M)" numFmtId="0">
      <sharedItems containsSemiMixedTypes="0" containsString="0" containsNumber="1" containsInteger="1" minValue="1836" maxValue="11636"/>
    </cacheField>
    <cacheField name="Content Cost ($M)" numFmtId="0">
      <sharedItems containsSemiMixedTypes="0" containsString="0" containsNumber="1" containsInteger="1" minValue="9656" maxValue="20596"/>
    </cacheField>
    <cacheField name="Op Margin %" numFmtId="10">
      <sharedItems containsSemiMixedTypes="0" containsString="0" containsNumber="1" minValue="0.44800000000000001" maxValue="1.173"/>
    </cacheField>
    <cacheField name="Yearly Total Revenue ($M)" numFmtId="0">
      <sharedItems containsSemiMixedTypes="0" containsString="0" containsNumber="1" containsInteger="1" minValue="20157" maxValue="38948"/>
    </cacheField>
    <cacheField name="Yearly Subscribers (M)" numFmtId="0">
      <sharedItems containsSemiMixedTypes="0" containsString="0" containsNumber="1" minValue="167.1" maxValue="301.60000000000002"/>
    </cacheField>
    <cacheField name="Yearly Net Profit ($M)" numFmtId="0">
      <sharedItems containsSemiMixedTypes="0" containsString="0" containsNumber="1" containsInteger="1" minValue="1625" maxValue="8884"/>
    </cacheField>
    <cacheField name="Yearly Op Income ($M)" numFmtId="0">
      <sharedItems containsSemiMixedTypes="0" containsString="0" containsNumber="1" containsInteger="1" minValue="2604" maxValue="10419"/>
    </cacheField>
    <cacheField name="Yearly Content Cost ($M)" numFmtId="0">
      <sharedItems containsSemiMixedTypes="0" containsString="0" containsNumber="1" containsInteger="1" minValue="13916" maxValue="19132"/>
    </cacheField>
    <cacheField name="Yearly Op Margin %" numFmtId="10">
      <sharedItems containsSemiMixedTypes="0" containsString="0" containsNumber="1" minValue="0.129" maxValue="0.26700000000000002"/>
    </cacheField>
    <cacheField name="Rev Growth YoY %" numFmtId="0">
      <sharedItems containsMixedTypes="1" containsNumber="1" minValue="6.4000000000000001E-2" maxValue="0.24" count="6">
        <s v="N/A"/>
        <n v="0.24"/>
        <n v="0.188"/>
        <n v="6.4000000000000001E-2"/>
        <n v="6.7000000000000004E-2"/>
        <n v="0.155"/>
      </sharedItems>
    </cacheField>
    <cacheField name="Profit Margin %" numFmtId="10">
      <sharedItems containsSemiMixedTypes="0" containsString="0" containsNumber="1" minValue="5.0999999999999997E-2" maxValue="0.22800000000000001" count="6">
        <n v="9.2999999999999999E-2"/>
        <n v="0.11"/>
        <n v="0.17199999999999999"/>
        <n v="5.0999999999999997E-2"/>
        <n v="0.16"/>
        <n v="0.22800000000000001"/>
      </sharedItems>
    </cacheField>
  </cacheFields>
  <extLst>
    <ext xmlns:x14="http://schemas.microsoft.com/office/spreadsheetml/2009/9/main" uri="{725AE2AE-9491-48be-B2B4-4EB974FC3084}">
      <x14:pivotCacheDefinition pivotCacheId="12409302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refreshedDate="46122.996484953706" backgroundQuery="1" createdVersion="8" refreshedVersion="8" minRefreshableVersion="3" recordCount="0" supportSubquery="1" supportAdvancedDrill="1" xr:uid="{D5EECF7E-7853-4401-A008-A6771B7EF625}">
  <cacheSource type="external" connectionId="1"/>
  <cacheFields count="5">
    <cacheField name="[Measures].[Sum of APAC Subs (M)]" caption="Sum of APAC Subs (M)" numFmtId="0" hierarchy="33" level="32767"/>
    <cacheField name="[Measures].[Sum of LATAM Subs (M)]" caption="Sum of LATAM Subs (M)" numFmtId="0" hierarchy="34" level="32767"/>
    <cacheField name="[Measures].[Sum of EMEA Subs (M)]" caption="Sum of EMEA Subs (M)" numFmtId="0" hierarchy="35" level="32767"/>
    <cacheField name="[Measures].[Sum of UCAN Subs (M)]" caption="Sum of UCAN Subs (M)" numFmtId="0" hierarchy="36" level="32767"/>
    <cacheField name="[Table1].[Year].[Year]" caption="Year" numFmtId="0"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Table1].[Year].&amp;[2019]"/>
            <x15:cachedUniqueName index="1" name="[Table1].[Year].&amp;[2020]"/>
            <x15:cachedUniqueName index="2" name="[Table1].[Year].&amp;[2021]"/>
            <x15:cachedUniqueName index="3" name="[Table1].[Year].&amp;[2022]"/>
            <x15:cachedUniqueName index="4" name="[Table1].[Year].&amp;[2023]"/>
            <x15:cachedUniqueName index="5" name="[Table1].[Year].&amp;[2024]"/>
          </x15:cachedUniqueNames>
        </ext>
      </extLst>
    </cacheField>
  </cacheFields>
  <cacheHierarchies count="4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Quarter]" caption="Quarter" attribute="1" defaultMemberUniqueName="[Table1].[Quarter].[All]" allUniqueName="[Table1].[Quarter].[All]" dimensionUniqueName="[Table1]" displayFolder="" count="0" memberValueDatatype="130" unbalanced="0"/>
    <cacheHierarchy uniqueName="[Table1].[Year-Quarter]" caption="Year-Quarter" attribute="1" defaultMemberUniqueName="[Table1].[Year-Quarter].[All]" allUniqueName="[Table1].[Year-Quarter].[All]" dimensionUniqueName="[Table1]" displayFolder="" count="0" memberValueDatatype="130" unbalanced="0"/>
    <cacheHierarchy uniqueName="[Table1].[Total Revenue ($M)]" caption="Total Revenue ($M)" attribute="1" defaultMemberUniqueName="[Table1].[Total Revenue ($M)].[All]" allUniqueName="[Table1].[Total Revenue ($M)].[All]" dimensionUniqueName="[Table1]" displayFolder="" count="0" memberValueDatatype="20" unbalanced="0"/>
    <cacheHierarchy uniqueName="[Table1].[Total Subscribers (M)]" caption="Total Subscribers (M)" attribute="1" defaultMemberUniqueName="[Table1].[Total Subscribers (M)].[All]" allUniqueName="[Table1].[Total Subscribers (M)].[All]" dimensionUniqueName="[Table1]" displayFolder="" count="0" memberValueDatatype="5" unbalanced="0"/>
    <cacheHierarchy uniqueName="[Table1].[Net Profit ($M)]" caption="Net Profit ($M)" attribute="1" defaultMemberUniqueName="[Table1].[Net Profit ($M)].[All]" allUniqueName="[Table1].[Net Profit ($M)].[All]" dimensionUniqueName="[Table1]" displayFolder="" count="0" memberValueDatatype="20" unbalanced="0"/>
    <cacheHierarchy uniqueName="[Table1].[Op Income ($M)]" caption="Op Income ($M)" attribute="1" defaultMemberUniqueName="[Table1].[Op Income ($M)].[All]" allUniqueName="[Table1].[Op Income ($M)].[All]" dimensionUniqueName="[Table1]" displayFolder="" count="0" memberValueDatatype="20" unbalanced="0"/>
    <cacheHierarchy uniqueName="[Table1].[Content Cost ($M)]" caption="Content Cost ($M)" attribute="1" defaultMemberUniqueName="[Table1].[Content Cost ($M)].[All]" allUniqueName="[Table1].[Content Cost ($M)].[All]" dimensionUniqueName="[Table1]" displayFolder="" count="0" memberValueDatatype="20" unbalanced="0"/>
    <cacheHierarchy uniqueName="[Table1].[Op Margin %]" caption="Op Margin %" attribute="1" defaultMemberUniqueName="[Table1].[Op Margin %].[All]" allUniqueName="[Table1].[Op Margin %].[All]" dimensionUniqueName="[Table1]" displayFolder="" count="0" memberValueDatatype="5" unbalanced="0"/>
    <cacheHierarchy uniqueName="[Table1].[Yearly Total Revenue ($M)]" caption="Yearly Total Revenue ($M)" attribute="1" defaultMemberUniqueName="[Table1].[Yearly Total Revenue ($M)].[All]" allUniqueName="[Table1].[Yearly Total Revenue ($M)].[All]" dimensionUniqueName="[Table1]" displayFolder="" count="0" memberValueDatatype="20" unbalanced="0"/>
    <cacheHierarchy uniqueName="[Table1].[Yearly Subscribers (M)]" caption="Yearly Subscribers (M)" attribute="1" defaultMemberUniqueName="[Table1].[Yearly Subscribers (M)].[All]" allUniqueName="[Table1].[Yearly Subscribers (M)].[All]" dimensionUniqueName="[Table1]" displayFolder="" count="0" memberValueDatatype="5" unbalanced="0"/>
    <cacheHierarchy uniqueName="[Table1].[Yearly Net Profit ($M)]" caption="Yearly Net Profit ($M)" attribute="1" defaultMemberUniqueName="[Table1].[Yearly Net Profit ($M)].[All]" allUniqueName="[Table1].[Yearly Net Profit ($M)].[All]" dimensionUniqueName="[Table1]" displayFolder="" count="0" memberValueDatatype="20" unbalanced="0"/>
    <cacheHierarchy uniqueName="[Table1].[Yearly Op Income ($M)]" caption="Yearly Op Income ($M)" attribute="1" defaultMemberUniqueName="[Table1].[Yearly Op Income ($M)].[All]" allUniqueName="[Table1].[Yearly Op Income ($M)].[All]" dimensionUniqueName="[Table1]" displayFolder="" count="0" memberValueDatatype="20" unbalanced="0"/>
    <cacheHierarchy uniqueName="[Table1].[Yearly Content Cost ($M)]" caption="Yearly Content Cost ($M)" attribute="1" defaultMemberUniqueName="[Table1].[Yearly Content Cost ($M)].[All]" allUniqueName="[Table1].[Yearly Content Cost ($M)].[All]" dimensionUniqueName="[Table1]" displayFolder="" count="0" memberValueDatatype="20" unbalanced="0"/>
    <cacheHierarchy uniqueName="[Table1].[Yearly Op Margin %]" caption="Yearly Op Margin %" attribute="1" defaultMemberUniqueName="[Table1].[Yearly Op Margin %].[All]" allUniqueName="[Table1].[Yearly Op Margin %].[All]" dimensionUniqueName="[Table1]" displayFolder="" count="0" memberValueDatatype="5" unbalanced="0"/>
    <cacheHierarchy uniqueName="[Table1].[Rev Growth YoY %]" caption="Rev Growth YoY %" attribute="1" defaultMemberUniqueName="[Table1].[Rev Growth YoY %].[All]" allUniqueName="[Table1].[Rev Growth YoY %].[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2].[Year]" caption="Year" attribute="1" defaultMemberUniqueName="[Table2].[Year].[All]" allUniqueName="[Table2].[Year].[All]" dimensionUniqueName="[Table2]" displayFolder="" count="2" memberValueDatatype="130" unbalanced="0"/>
    <cacheHierarchy uniqueName="[Table2].[UCAN Rev ($M)]" caption="UCAN Rev ($M)" attribute="1" defaultMemberUniqueName="[Table2].[UCAN Rev ($M)].[All]" allUniqueName="[Table2].[UCAN Rev ($M)].[All]" dimensionUniqueName="[Table2]" displayFolder="" count="0" memberValueDatatype="20" unbalanced="0"/>
    <cacheHierarchy uniqueName="[Table2].[EMEA Rev ($M)]" caption="EMEA Rev ($M)" attribute="1" defaultMemberUniqueName="[Table2].[EMEA Rev ($M)].[All]" allUniqueName="[Table2].[EMEA Rev ($M)].[All]" dimensionUniqueName="[Table2]" displayFolder="" count="0" memberValueDatatype="20" unbalanced="0"/>
    <cacheHierarchy uniqueName="[Table2].[LATAM Rev ($M)]" caption="LATAM Rev ($M)" attribute="1" defaultMemberUniqueName="[Table2].[LATAM Rev ($M)].[All]" allUniqueName="[Table2].[LATAM Rev ($M)].[All]" dimensionUniqueName="[Table2]" displayFolder="" count="0" memberValueDatatype="20" unbalanced="0"/>
    <cacheHierarchy uniqueName="[Table2].[APAC Rev ($M)]" caption="APAC Rev ($M)" attribute="1" defaultMemberUniqueName="[Table2].[APAC Rev ($M)].[All]" allUniqueName="[Table2].[APAC Rev ($M)].[All]" dimensionUniqueName="[Table2]" displayFolder="" count="0" memberValueDatatype="20" unbalanced="0"/>
    <cacheHierarchy uniqueName="[Table2].[UCAN Subs (M)]" caption="UCAN Subs (M)" attribute="1" defaultMemberUniqueName="[Table2].[UCAN Subs (M)].[All]" allUniqueName="[Table2].[UCAN Subs (M)].[All]" dimensionUniqueName="[Table2]" displayFolder="" count="0" memberValueDatatype="5" unbalanced="0"/>
    <cacheHierarchy uniqueName="[Table2].[EMEA Subs (M)]" caption="EMEA Subs (M)" attribute="1" defaultMemberUniqueName="[Table2].[EMEA Subs (M)].[All]" allUniqueName="[Table2].[EMEA Subs (M)].[All]" dimensionUniqueName="[Table2]" displayFolder="" count="0" memberValueDatatype="5" unbalanced="0"/>
    <cacheHierarchy uniqueName="[Table2].[LATAM Subs (M)]" caption="LATAM Subs (M)" attribute="1" defaultMemberUniqueName="[Table2].[LATAM Subs (M)].[All]" allUniqueName="[Table2].[LATAM Subs (M)].[All]" dimensionUniqueName="[Table2]" displayFolder="" count="0" memberValueDatatype="5" unbalanced="0"/>
    <cacheHierarchy uniqueName="[Table2].[APAC Subs (M)]" caption="APAC Subs (M)" attribute="1" defaultMemberUniqueName="[Table2].[APAC Subs (M)].[All]" allUniqueName="[Table2].[APAC Subs (M)].[All]" dimensionUniqueName="[Table2]" displayFolder="" count="0" memberValueDatatype="5"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CAN Rev ($M)]" caption="Sum of UCAN Rev ($M)" measure="1" displayFolder="" measureGroup="Table2" count="0" hidden="1">
      <extLst>
        <ext xmlns:x15="http://schemas.microsoft.com/office/spreadsheetml/2010/11/main" uri="{B97F6D7D-B522-45F9-BDA1-12C45D357490}">
          <x15:cacheHierarchy aggregatedColumn="18"/>
        </ext>
      </extLst>
    </cacheHierarchy>
    <cacheHierarchy uniqueName="[Measures].[Sum of EMEA Rev ($M)]" caption="Sum of EMEA Rev ($M)" measure="1" displayFolder="" measureGroup="Table2" count="0" hidden="1">
      <extLst>
        <ext xmlns:x15="http://schemas.microsoft.com/office/spreadsheetml/2010/11/main" uri="{B97F6D7D-B522-45F9-BDA1-12C45D357490}">
          <x15:cacheHierarchy aggregatedColumn="19"/>
        </ext>
      </extLst>
    </cacheHierarchy>
    <cacheHierarchy uniqueName="[Measures].[Sum of LATAM Rev ($M)]" caption="Sum of LATAM Rev ($M)" measure="1" displayFolder="" measureGroup="Table2" count="0" hidden="1">
      <extLst>
        <ext xmlns:x15="http://schemas.microsoft.com/office/spreadsheetml/2010/11/main" uri="{B97F6D7D-B522-45F9-BDA1-12C45D357490}">
          <x15:cacheHierarchy aggregatedColumn="20"/>
        </ext>
      </extLst>
    </cacheHierarchy>
    <cacheHierarchy uniqueName="[Measures].[Sum of APAC Rev ($M)]" caption="Sum of APAC Rev ($M)" measure="1" displayFolder="" measureGroup="Table2" count="0" hidden="1">
      <extLst>
        <ext xmlns:x15="http://schemas.microsoft.com/office/spreadsheetml/2010/11/main" uri="{B97F6D7D-B522-45F9-BDA1-12C45D357490}">
          <x15:cacheHierarchy aggregatedColumn="21"/>
        </ext>
      </extLst>
    </cacheHierarchy>
    <cacheHierarchy uniqueName="[Measures].[Sum of APAC Subs (M)]" caption="Sum of APAC Subs (M)" measure="1" displayFolder="" measureGroup="Table2"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LATAM Subs (M)]" caption="Sum of LATAM Subs (M)"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EMEA Subs (M)]" caption="Sum of EMEA Subs (M)" measure="1" displayFolder="" measureGroup="Table2"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UCAN Subs (M)]" caption="Sum of UCAN Subs (M)" measure="1" displayFolder="" measureGroup="Table2"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Year]" caption="Count of Year" measure="1" displayFolder="" measureGroup="Table2" count="0" hidden="1">
      <extLst>
        <ext xmlns:x15="http://schemas.microsoft.com/office/spreadsheetml/2010/11/main" uri="{B97F6D7D-B522-45F9-BDA1-12C45D357490}">
          <x15:cacheHierarchy aggregatedColumn="17"/>
        </ext>
      </extLst>
    </cacheHierarchy>
    <cacheHierarchy uniqueName="[Measures].[Count of APAC Subs (M)]" caption="Count of APAC Subs (M)" measure="1" displayFolder="" measureGroup="Table2"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67.1"/>
    <n v="1867"/>
    <n v="2604"/>
    <n v="13916"/>
    <n v="0.129"/>
    <x v="0"/>
    <n v="9.2999999999999999E-2"/>
  </r>
  <r>
    <x v="1"/>
    <x v="1"/>
    <n v="203.7"/>
    <n v="2761"/>
    <n v="4585"/>
    <n v="17332"/>
    <n v="0.183"/>
    <x v="1"/>
    <n v="0.11"/>
  </r>
  <r>
    <x v="2"/>
    <x v="2"/>
    <n v="221.8"/>
    <n v="5116"/>
    <n v="6195"/>
    <n v="17702"/>
    <n v="0.20899999999999999"/>
    <x v="2"/>
    <n v="0.17199999999999999"/>
  </r>
  <r>
    <x v="3"/>
    <x v="3"/>
    <n v="220.7"/>
    <n v="1625"/>
    <n v="5633"/>
    <n v="17126"/>
    <n v="0.17799999999999999"/>
    <x v="3"/>
    <n v="5.0999999999999997E-2"/>
  </r>
  <r>
    <x v="4"/>
    <x v="4"/>
    <n v="260.3"/>
    <n v="5408"/>
    <n v="7006"/>
    <n v="19132"/>
    <n v="0.20799999999999999"/>
    <x v="4"/>
    <n v="0.16"/>
  </r>
  <r>
    <x v="5"/>
    <x v="5"/>
    <n v="301.60000000000002"/>
    <n v="8884"/>
    <n v="10419"/>
    <n v="17980"/>
    <n v="0.26700000000000002"/>
    <x v="5"/>
    <n v="0.2280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4099"/>
    <n v="132.69999999999999"/>
    <n v="1376"/>
    <n v="1836"/>
    <n v="9656"/>
    <n v="0.44800000000000001"/>
    <n v="20157"/>
    <n v="167.1"/>
    <n v="1867"/>
    <n v="2604"/>
    <n v="13916"/>
    <n v="0.129"/>
    <x v="0"/>
    <x v="0"/>
  </r>
  <r>
    <x v="0"/>
    <x v="1"/>
    <x v="1"/>
    <n v="4387"/>
    <n v="134.9"/>
    <n v="1080"/>
    <n v="2824"/>
    <n v="9892"/>
    <n v="0.64400000000000002"/>
    <n v="20157"/>
    <n v="167.1"/>
    <n v="1867"/>
    <n v="2604"/>
    <n v="13916"/>
    <n v="0.129"/>
    <x v="0"/>
    <x v="0"/>
  </r>
  <r>
    <x v="0"/>
    <x v="2"/>
    <x v="2"/>
    <n v="4669"/>
    <n v="138.30000000000001"/>
    <n v="2660"/>
    <n v="3920"/>
    <n v="10268"/>
    <n v="0.84"/>
    <n v="20157"/>
    <n v="167.1"/>
    <n v="1867"/>
    <n v="2604"/>
    <n v="13916"/>
    <n v="0.129"/>
    <x v="0"/>
    <x v="0"/>
  </r>
  <r>
    <x v="0"/>
    <x v="3"/>
    <x v="3"/>
    <n v="4968"/>
    <n v="145.6"/>
    <n v="2348"/>
    <n v="5416"/>
    <n v="11572"/>
    <n v="1.0900000000000001"/>
    <n v="20157"/>
    <n v="167.1"/>
    <n v="1867"/>
    <n v="2604"/>
    <n v="13916"/>
    <n v="0.129"/>
    <x v="0"/>
    <x v="0"/>
  </r>
  <r>
    <x v="1"/>
    <x v="0"/>
    <x v="4"/>
    <n v="5296"/>
    <n v="153.19999999999999"/>
    <n v="2836"/>
    <n v="3832"/>
    <n v="11096"/>
    <n v="0.72399999999999998"/>
    <n v="24996"/>
    <n v="203.7"/>
    <n v="2761"/>
    <n v="4585"/>
    <n v="17332"/>
    <n v="0.183"/>
    <x v="1"/>
    <x v="1"/>
  </r>
  <r>
    <x v="1"/>
    <x v="1"/>
    <x v="5"/>
    <n v="5699"/>
    <n v="164.7"/>
    <n v="4588"/>
    <n v="5432"/>
    <n v="11728"/>
    <n v="0.95299999999999996"/>
    <n v="24996"/>
    <n v="203.7"/>
    <n v="2761"/>
    <n v="4585"/>
    <n v="17332"/>
    <n v="0.183"/>
    <x v="1"/>
    <x v="1"/>
  </r>
  <r>
    <x v="1"/>
    <x v="2"/>
    <x v="6"/>
    <n v="6051"/>
    <n v="168.2"/>
    <n v="3160"/>
    <n v="5260"/>
    <n v="12416"/>
    <n v="0.86899999999999999"/>
    <n v="24996"/>
    <n v="203.7"/>
    <n v="2761"/>
    <n v="4585"/>
    <n v="17332"/>
    <n v="0.183"/>
    <x v="1"/>
    <x v="1"/>
  </r>
  <r>
    <x v="1"/>
    <x v="3"/>
    <x v="7"/>
    <n v="6389"/>
    <n v="178.2"/>
    <n v="5796"/>
    <n v="5968"/>
    <n v="13632"/>
    <n v="0.93400000000000005"/>
    <n v="24996"/>
    <n v="203.7"/>
    <n v="2761"/>
    <n v="4585"/>
    <n v="17332"/>
    <n v="0.183"/>
    <x v="1"/>
    <x v="1"/>
  </r>
  <r>
    <x v="2"/>
    <x v="0"/>
    <x v="8"/>
    <n v="6681"/>
    <n v="193.5"/>
    <n v="6828"/>
    <n v="7840"/>
    <n v="14068"/>
    <n v="1.173"/>
    <n v="29698"/>
    <n v="221.8"/>
    <n v="5116"/>
    <n v="6195"/>
    <n v="17702"/>
    <n v="0.20899999999999999"/>
    <x v="2"/>
    <x v="2"/>
  </r>
  <r>
    <x v="2"/>
    <x v="1"/>
    <x v="9"/>
    <n v="7058"/>
    <n v="206.1"/>
    <n v="5412"/>
    <n v="7916"/>
    <n v="14088"/>
    <n v="1.1220000000000001"/>
    <n v="29698"/>
    <n v="221.8"/>
    <n v="5116"/>
    <n v="6195"/>
    <n v="17702"/>
    <n v="0.20899999999999999"/>
    <x v="2"/>
    <x v="2"/>
  </r>
  <r>
    <x v="2"/>
    <x v="2"/>
    <x v="10"/>
    <n v="7367"/>
    <n v="213.6"/>
    <n v="5796"/>
    <n v="7024"/>
    <n v="14508"/>
    <n v="0.95299999999999996"/>
    <n v="29698"/>
    <n v="221.8"/>
    <n v="5116"/>
    <n v="6195"/>
    <n v="17702"/>
    <n v="0.20899999999999999"/>
    <x v="2"/>
    <x v="2"/>
  </r>
  <r>
    <x v="2"/>
    <x v="3"/>
    <x v="11"/>
    <n v="7770"/>
    <n v="215.3"/>
    <n v="2428"/>
    <n v="5776"/>
    <n v="16132"/>
    <n v="0.74299999999999999"/>
    <n v="29698"/>
    <n v="221.8"/>
    <n v="5116"/>
    <n v="6195"/>
    <n v="17702"/>
    <n v="0.20899999999999999"/>
    <x v="2"/>
    <x v="2"/>
  </r>
  <r>
    <x v="3"/>
    <x v="0"/>
    <x v="12"/>
    <n v="8166"/>
    <n v="215.9"/>
    <n v="6388"/>
    <n v="5480"/>
    <n v="17132"/>
    <n v="0.67100000000000004"/>
    <n v="31616"/>
    <n v="220.7"/>
    <n v="1625"/>
    <n v="5633"/>
    <n v="17126"/>
    <n v="0.17799999999999999"/>
    <x v="3"/>
    <x v="3"/>
  </r>
  <r>
    <x v="3"/>
    <x v="1"/>
    <x v="13"/>
    <n v="7691"/>
    <n v="215.1"/>
    <n v="-3880"/>
    <n v="3896"/>
    <n v="16752"/>
    <n v="0.50700000000000001"/>
    <n v="31616"/>
    <n v="220.7"/>
    <n v="1625"/>
    <n v="5633"/>
    <n v="17126"/>
    <n v="0.17799999999999999"/>
    <x v="3"/>
    <x v="3"/>
  </r>
  <r>
    <x v="3"/>
    <x v="2"/>
    <x v="14"/>
    <n v="7620"/>
    <n v="218.2"/>
    <n v="2228"/>
    <n v="6136"/>
    <n v="15500"/>
    <n v="0.80500000000000005"/>
    <n v="31616"/>
    <n v="220.7"/>
    <n v="1625"/>
    <n v="5633"/>
    <n v="17126"/>
    <n v="0.17799999999999999"/>
    <x v="3"/>
    <x v="3"/>
  </r>
  <r>
    <x v="3"/>
    <x v="3"/>
    <x v="15"/>
    <n v="7860"/>
    <n v="224.5"/>
    <n v="-2236"/>
    <n v="4936"/>
    <n v="16676"/>
    <n v="0.628"/>
    <n v="31616"/>
    <n v="220.7"/>
    <n v="1625"/>
    <n v="5633"/>
    <n v="17126"/>
    <n v="0.17799999999999999"/>
    <x v="3"/>
    <x v="3"/>
  </r>
  <r>
    <x v="4"/>
    <x v="0"/>
    <x v="16"/>
    <n v="8077"/>
    <n v="229.6"/>
    <n v="5220"/>
    <n v="6796"/>
    <n v="15264"/>
    <n v="0.84099999999999997"/>
    <n v="33723"/>
    <n v="260.3"/>
    <n v="5408"/>
    <n v="7006"/>
    <n v="19132"/>
    <n v="0.20799999999999999"/>
    <x v="4"/>
    <x v="4"/>
  </r>
  <r>
    <x v="4"/>
    <x v="1"/>
    <x v="17"/>
    <n v="8604"/>
    <n v="237.8"/>
    <n v="5952"/>
    <n v="7308"/>
    <n v="14956"/>
    <n v="0.84899999999999998"/>
    <n v="33723"/>
    <n v="260.3"/>
    <n v="5408"/>
    <n v="7006"/>
    <n v="19132"/>
    <n v="0.20799999999999999"/>
    <x v="4"/>
    <x v="4"/>
  </r>
  <r>
    <x v="4"/>
    <x v="2"/>
    <x v="18"/>
    <n v="8796"/>
    <n v="243.9"/>
    <n v="6708"/>
    <n v="7664"/>
    <n v="14880"/>
    <n v="0.871"/>
    <n v="33723"/>
    <n v="260.3"/>
    <n v="5408"/>
    <n v="7006"/>
    <n v="19132"/>
    <n v="0.20799999999999999"/>
    <x v="4"/>
    <x v="4"/>
  </r>
  <r>
    <x v="4"/>
    <x v="3"/>
    <x v="19"/>
    <n v="9738"/>
    <n v="265.60000000000002"/>
    <n v="3752"/>
    <n v="5984"/>
    <n v="20596"/>
    <n v="0.61399999999999999"/>
    <n v="33723"/>
    <n v="260.3"/>
    <n v="5408"/>
    <n v="7006"/>
    <n v="19132"/>
    <n v="0.20799999999999999"/>
    <x v="4"/>
    <x v="4"/>
  </r>
  <r>
    <x v="5"/>
    <x v="0"/>
    <x v="20"/>
    <n v="10616"/>
    <n v="281.39999999999998"/>
    <n v="9328"/>
    <n v="10532"/>
    <n v="17712"/>
    <n v="0.99199999999999999"/>
    <n v="38948"/>
    <n v="301.60000000000002"/>
    <n v="8884"/>
    <n v="10419"/>
    <n v="17980"/>
    <n v="0.26700000000000002"/>
    <x v="5"/>
    <x v="5"/>
  </r>
  <r>
    <x v="5"/>
    <x v="1"/>
    <x v="21"/>
    <n v="10958"/>
    <n v="290.7"/>
    <n v="8588"/>
    <n v="10412"/>
    <n v="18020"/>
    <n v="0.95"/>
    <n v="38948"/>
    <n v="301.60000000000002"/>
    <n v="8884"/>
    <n v="10419"/>
    <n v="17980"/>
    <n v="0.26700000000000002"/>
    <x v="5"/>
    <x v="5"/>
  </r>
  <r>
    <x v="5"/>
    <x v="2"/>
    <x v="22"/>
    <n v="11551"/>
    <n v="302.7"/>
    <n v="9456"/>
    <n v="11636"/>
    <n v="18456"/>
    <n v="1.0069999999999999"/>
    <n v="38948"/>
    <n v="301.60000000000002"/>
    <n v="8884"/>
    <n v="10419"/>
    <n v="17980"/>
    <n v="0.26700000000000002"/>
    <x v="5"/>
    <x v="5"/>
  </r>
  <r>
    <x v="5"/>
    <x v="3"/>
    <x v="23"/>
    <n v="12303"/>
    <n v="323.89999999999998"/>
    <n v="7476"/>
    <n v="9096"/>
    <n v="19940"/>
    <n v="0.73899999999999999"/>
    <n v="38948"/>
    <n v="301.60000000000002"/>
    <n v="8884"/>
    <n v="10419"/>
    <n v="17980"/>
    <n v="0.26700000000000002"/>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44E07-D4DD-4EBF-9525-ED89A1F208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
  <location ref="A12:F19" firstHeaderRow="0" firstDataRow="1" firstDataCol="1"/>
  <pivotFields count="9">
    <pivotField axis="axisRow" showAll="0">
      <items count="7">
        <item x="0"/>
        <item x="1"/>
        <item x="2"/>
        <item x="3"/>
        <item x="4"/>
        <item x="5"/>
        <item t="default"/>
      </items>
    </pivotField>
    <pivotField dataField="1" numFmtId="3" showAll="0">
      <items count="7">
        <item x="0"/>
        <item x="1"/>
        <item x="2"/>
        <item x="3"/>
        <item x="4"/>
        <item x="5"/>
        <item t="default"/>
      </items>
    </pivotField>
    <pivotField dataField="1" numFmtId="164" showAll="0"/>
    <pivotField dataField="1" numFmtId="3" showAll="0"/>
    <pivotField numFmtId="3" showAll="0"/>
    <pivotField dataField="1" numFmtId="3" showAll="0"/>
    <pivotField numFmtId="166" showAll="0"/>
    <pivotField showAll="0">
      <items count="7">
        <item x="3"/>
        <item x="4"/>
        <item x="5"/>
        <item x="2"/>
        <item x="1"/>
        <item x="0"/>
        <item t="default"/>
      </items>
    </pivotField>
    <pivotField dataField="1" numFmtId="166"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Total Subscribers(M)" fld="2" baseField="0" baseItem="0" numFmtId="164"/>
    <dataField name="Total Revenue($M)" fld="1" baseField="0" baseItem="0" numFmtId="3"/>
    <dataField name="Net Profit($M)" fld="3" baseField="0" baseItem="0" numFmtId="3"/>
    <dataField name="Profit Margin%" fld="8" baseField="0" baseItem="0" numFmtId="166"/>
    <dataField name="Sum of Content Cost ($M)" fld="5" baseField="0" baseItem="0" numFmtId="3"/>
  </dataFields>
  <formats count="12">
    <format dxfId="202">
      <pivotArea type="all" dataOnly="0" outline="0" fieldPosition="0"/>
    </format>
    <format dxfId="201">
      <pivotArea outline="0" collapsedLevelsAreSubtotals="1" fieldPosition="0"/>
    </format>
    <format dxfId="200">
      <pivotArea dataOnly="0" labelOnly="1" outline="0" fieldPosition="0">
        <references count="1">
          <reference field="4294967294" count="4">
            <x v="0"/>
            <x v="1"/>
            <x v="2"/>
            <x v="3"/>
          </reference>
        </references>
      </pivotArea>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0"/>
        </references>
      </pivotArea>
    </format>
    <format dxfId="192">
      <pivotArea dataOnly="0" labelOnly="1" grandRow="1" outline="0" fieldPosition="0"/>
    </format>
    <format dxfId="191">
      <pivotArea dataOnly="0" labelOnly="1" outline="0" fieldPosition="0">
        <references count="1">
          <reference field="4294967294" count="5">
            <x v="0"/>
            <x v="1"/>
            <x v="2"/>
            <x v="3"/>
            <x v="4"/>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CE12E-DA54-498A-AD24-8AA58F8C9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
  <location ref="A21:D28" firstHeaderRow="0" firstDataRow="1" firstDataCol="1"/>
  <pivotFields count="9">
    <pivotField axis="axisRow" showAll="0">
      <items count="7">
        <item x="0"/>
        <item x="1"/>
        <item x="2"/>
        <item x="3"/>
        <item x="4"/>
        <item x="5"/>
        <item t="default"/>
      </items>
    </pivotField>
    <pivotField dataField="1" numFmtId="3" showAll="0">
      <items count="7">
        <item x="0"/>
        <item x="1"/>
        <item x="2"/>
        <item x="3"/>
        <item x="4"/>
        <item x="5"/>
        <item t="default"/>
      </items>
    </pivotField>
    <pivotField dataField="1" numFmtId="164" showAll="0"/>
    <pivotField dataField="1" numFmtId="3" showAll="0"/>
    <pivotField numFmtId="3" showAll="0"/>
    <pivotField numFmtId="3" showAll="0"/>
    <pivotField numFmtId="166" showAll="0"/>
    <pivotField showAll="0">
      <items count="7">
        <item x="3"/>
        <item x="4"/>
        <item x="5"/>
        <item x="2"/>
        <item x="1"/>
        <item x="0"/>
        <item t="default"/>
      </items>
    </pivotField>
    <pivotField numFmtId="166" showAll="0"/>
  </pivotFields>
  <rowFields count="1">
    <field x="0"/>
  </rowFields>
  <rowItems count="7">
    <i>
      <x/>
    </i>
    <i>
      <x v="1"/>
    </i>
    <i>
      <x v="2"/>
    </i>
    <i>
      <x v="3"/>
    </i>
    <i>
      <x v="4"/>
    </i>
    <i>
      <x v="5"/>
    </i>
    <i t="grand">
      <x/>
    </i>
  </rowItems>
  <colFields count="1">
    <field x="-2"/>
  </colFields>
  <colItems count="3">
    <i>
      <x/>
    </i>
    <i i="1">
      <x v="1"/>
    </i>
    <i i="2">
      <x v="2"/>
    </i>
  </colItems>
  <dataFields count="3">
    <dataField name="Total Subscribers" fld="2" baseField="0" baseItem="0" numFmtId="164"/>
    <dataField name="Total Revenue" fld="1" baseField="0" baseItem="0" numFmtId="3"/>
    <dataField name="Net Profit" fld="3" baseField="0" baseItem="0" numFmtId="3"/>
  </dataFields>
  <formats count="12">
    <format dxfId="214">
      <pivotArea type="all" dataOnly="0" outline="0" fieldPosition="0"/>
    </format>
    <format dxfId="213">
      <pivotArea outline="0" collapsedLevelsAreSubtotals="1" fieldPosition="0"/>
    </format>
    <format dxfId="212">
      <pivotArea dataOnly="0" labelOnly="1" outline="0" fieldPosition="0">
        <references count="1">
          <reference field="4294967294" count="3">
            <x v="0"/>
            <x v="1"/>
            <x v="2"/>
          </reference>
        </references>
      </pivotArea>
    </format>
    <format dxfId="211">
      <pivotArea field="0" type="button" dataOnly="0" labelOnly="1" outline="0" axis="axisRow" fieldPosition="0"/>
    </format>
    <format dxfId="210">
      <pivotArea dataOnly="0" labelOnly="1" fieldPosition="0">
        <references count="1">
          <reference field="0" count="0"/>
        </references>
      </pivotArea>
    </format>
    <format dxfId="209">
      <pivotArea dataOnly="0" labelOnly="1" grandRow="1" outline="0" fieldPosition="0"/>
    </format>
    <format dxfId="208">
      <pivotArea type="all" dataOnly="0" outline="0" fieldPosition="0"/>
    </format>
    <format dxfId="207">
      <pivotArea outline="0" collapsedLevelsAreSubtotals="1" fieldPosition="0"/>
    </format>
    <format dxfId="206">
      <pivotArea field="0" type="button" dataOnly="0" labelOnly="1" outline="0" axis="axisRow" fieldPosition="0"/>
    </format>
    <format dxfId="205">
      <pivotArea dataOnly="0" labelOnly="1" fieldPosition="0">
        <references count="1">
          <reference field="0" count="0"/>
        </references>
      </pivotArea>
    </format>
    <format dxfId="204">
      <pivotArea dataOnly="0" labelOnly="1" grandRow="1" outline="0" fieldPosition="0"/>
    </format>
    <format dxfId="203">
      <pivotArea dataOnly="0" labelOnly="1" outline="0" fieldPosition="0">
        <references count="1">
          <reference field="4294967294" count="3">
            <x v="0"/>
            <x v="1"/>
            <x v="2"/>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B7A6F0-B8CA-4BED-9E14-0787FF652300}"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20"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Fields count="1">
    <field x="-2"/>
  </colFields>
  <colItems count="4">
    <i>
      <x/>
    </i>
    <i i="1">
      <x v="1"/>
    </i>
    <i i="2">
      <x v="2"/>
    </i>
    <i i="3">
      <x v="3"/>
    </i>
  </colItems>
  <dataFields count="4">
    <dataField name="Sum of APAC Subs (M)" fld="0" baseField="0" baseItem="0"/>
    <dataField name="Sum of LATAM Subs (M)" fld="1" baseField="0" baseItem="0"/>
    <dataField name="Sum of EMEA Subs (M)" fld="2" baseField="0" baseItem="0"/>
    <dataField name="Sum of UCAN Subs (M)" fld="3" baseField="0" baseItem="0"/>
  </dataFields>
  <formats count="8">
    <format dxfId="190">
      <pivotArea field="4" type="button" dataOnly="0" labelOnly="1" outline="0" axis="axisRow" fieldPosition="0"/>
    </format>
    <format dxfId="189">
      <pivotArea dataOnly="0" labelOnly="1" outline="0" fieldPosition="0">
        <references count="1">
          <reference field="4294967294" count="4">
            <x v="0"/>
            <x v="1"/>
            <x v="2"/>
            <x v="3"/>
          </reference>
        </references>
      </pivotArea>
    </format>
    <format dxfId="188">
      <pivotArea field="4" type="button" dataOnly="0" labelOnly="1" outline="0" axis="axisRow" fieldPosition="0"/>
    </format>
    <format dxfId="187">
      <pivotArea dataOnly="0" labelOnly="1" outline="0" fieldPosition="0">
        <references count="1">
          <reference field="4294967294" count="4">
            <x v="0"/>
            <x v="1"/>
            <x v="2"/>
            <x v="3"/>
          </reference>
        </references>
      </pivotArea>
    </format>
    <format dxfId="186">
      <pivotArea grandRow="1" outline="0" collapsedLevelsAreSubtotals="1" fieldPosition="0"/>
    </format>
    <format dxfId="185">
      <pivotArea dataOnly="0" labelOnly="1" grandRow="1" outline="0" fieldPosition="0"/>
    </format>
    <format dxfId="184">
      <pivotArea grandRow="1" outline="0" collapsedLevelsAreSubtotals="1" fieldPosition="0"/>
    </format>
    <format dxfId="183">
      <pivotArea dataOnly="0" labelOnly="1" grandRow="1" outline="0"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8BA969-EDC9-4869-86BB-9808559E9E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0:B47" firstHeaderRow="1" firstDataRow="1" firstDataCol="1"/>
  <pivotFields count="17">
    <pivotField axis="axisRow" showAll="0">
      <items count="7">
        <item sd="0" x="0"/>
        <item sd="0" x="1"/>
        <item sd="0" x="2"/>
        <item sd="0" x="3"/>
        <item sd="0" x="4"/>
        <item sd="0" x="5"/>
        <item t="default"/>
      </items>
    </pivotField>
    <pivotField axis="axisRow" showAll="0">
      <items count="5">
        <item x="0"/>
        <item x="1"/>
        <item x="2"/>
        <item x="3"/>
        <item t="default"/>
      </items>
    </pivotField>
    <pivotField showAll="0"/>
    <pivotField showAll="0"/>
    <pivotField showAll="0"/>
    <pivotField showAll="0"/>
    <pivotField showAll="0"/>
    <pivotField showAll="0"/>
    <pivotField dataField="1" numFmtId="10" showAll="0"/>
    <pivotField showAll="0"/>
    <pivotField showAll="0"/>
    <pivotField showAll="0"/>
    <pivotField showAll="0"/>
    <pivotField showAll="0"/>
    <pivotField numFmtId="10" showAll="0"/>
    <pivotField showAll="0"/>
    <pivotField numFmtId="10" showAll="0"/>
  </pivotFields>
  <rowFields count="2">
    <field x="0"/>
    <field x="1"/>
  </rowFields>
  <rowItems count="7">
    <i>
      <x/>
    </i>
    <i>
      <x v="1"/>
    </i>
    <i>
      <x v="2"/>
    </i>
    <i>
      <x v="3"/>
    </i>
    <i>
      <x v="4"/>
    </i>
    <i>
      <x v="5"/>
    </i>
    <i t="grand">
      <x/>
    </i>
  </rowItems>
  <colItems count="1">
    <i/>
  </colItems>
  <dataFields count="1">
    <dataField name="Average of Op Margin %" fld="8" subtotal="average" baseField="0" baseItem="4" numFmtId="2"/>
  </dataFields>
  <formats count="1">
    <format dxfId="139">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09BD1-74DE-4EDF-9F20-AC50543DF7C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1:E38" firstHeaderRow="0" firstDataRow="1" firstDataCol="1"/>
  <pivotFields count="17">
    <pivotField axis="axisRow" showAll="0">
      <items count="7">
        <item sd="0" x="0"/>
        <item sd="0" x="1"/>
        <item sd="0" x="2"/>
        <item sd="0" x="3"/>
        <item sd="0" x="4"/>
        <item sd="0" x="5"/>
        <item t="default"/>
      </items>
    </pivotField>
    <pivotField axis="axisRow" showAll="0">
      <items count="5">
        <item x="0"/>
        <item x="1"/>
        <item x="2"/>
        <item x="3"/>
        <item t="default"/>
      </items>
    </pivotField>
    <pivotField showAll="0"/>
    <pivotField dataField="1" showAll="0"/>
    <pivotField dataField="1" showAll="0"/>
    <pivotField dataField="1" showAll="0"/>
    <pivotField showAll="0"/>
    <pivotField showAll="0"/>
    <pivotField numFmtId="10" showAll="0"/>
    <pivotField showAll="0"/>
    <pivotField showAll="0"/>
    <pivotField showAll="0"/>
    <pivotField showAll="0"/>
    <pivotField showAll="0"/>
    <pivotField numFmtId="10" showAll="0"/>
    <pivotField showAll="0"/>
    <pivotField dataField="1" numFmtId="10" showAll="0"/>
  </pivotFields>
  <rowFields count="2">
    <field x="0"/>
    <field x="1"/>
  </rowFields>
  <rowItems count="7">
    <i>
      <x/>
    </i>
    <i>
      <x v="1"/>
    </i>
    <i>
      <x v="2"/>
    </i>
    <i>
      <x v="3"/>
    </i>
    <i>
      <x v="4"/>
    </i>
    <i>
      <x v="5"/>
    </i>
    <i t="grand">
      <x/>
    </i>
  </rowItems>
  <colFields count="1">
    <field x="-2"/>
  </colFields>
  <colItems count="4">
    <i>
      <x/>
    </i>
    <i i="1">
      <x v="1"/>
    </i>
    <i i="2">
      <x v="2"/>
    </i>
    <i i="3">
      <x v="3"/>
    </i>
  </colItems>
  <dataFields count="4">
    <dataField name="Total Subscribers" fld="4" baseField="0" baseItem="0"/>
    <dataField name="Total Revenue" fld="3" baseField="0" baseItem="0" numFmtId="167"/>
    <dataField name="Net Profit" fld="5" baseField="0" baseItem="0" numFmtId="167"/>
    <dataField name="Sum of Profit Margin %" fld="16" baseField="0" baseItem="0" numFmtId="10"/>
  </dataFields>
  <formats count="15">
    <format dxfId="154">
      <pivotArea outline="0" collapsedLevelsAreSubtotals="1" fieldPosition="0">
        <references count="1">
          <reference field="4294967294" count="2" selected="0">
            <x v="1"/>
            <x v="2"/>
          </reference>
        </references>
      </pivotArea>
    </format>
    <format dxfId="153">
      <pivotArea collapsedLevelsAreSubtotals="1" fieldPosition="0">
        <references count="2">
          <reference field="4294967294" count="1" selected="0">
            <x v="1"/>
          </reference>
          <reference field="0" count="1">
            <x v="0"/>
          </reference>
        </references>
      </pivotArea>
    </format>
    <format dxfId="152">
      <pivotArea collapsedLevelsAreSubtotals="1" fieldPosition="0">
        <references count="2">
          <reference field="4294967294" count="1" selected="0">
            <x v="1"/>
          </reference>
          <reference field="0" count="1">
            <x v="1"/>
          </reference>
        </references>
      </pivotArea>
    </format>
    <format dxfId="151">
      <pivotArea collapsedLevelsAreSubtotals="1" fieldPosition="0">
        <references count="2">
          <reference field="4294967294" count="1" selected="0">
            <x v="1"/>
          </reference>
          <reference field="0" count="1">
            <x v="2"/>
          </reference>
        </references>
      </pivotArea>
    </format>
    <format dxfId="150">
      <pivotArea collapsedLevelsAreSubtotals="1" fieldPosition="0">
        <references count="2">
          <reference field="4294967294" count="1" selected="0">
            <x v="1"/>
          </reference>
          <reference field="0" count="1">
            <x v="3"/>
          </reference>
        </references>
      </pivotArea>
    </format>
    <format dxfId="149">
      <pivotArea collapsedLevelsAreSubtotals="1" fieldPosition="0">
        <references count="2">
          <reference field="4294967294" count="1" selected="0">
            <x v="1"/>
          </reference>
          <reference field="0" count="1">
            <x v="4"/>
          </reference>
        </references>
      </pivotArea>
    </format>
    <format dxfId="148">
      <pivotArea collapsedLevelsAreSubtotals="1" fieldPosition="0">
        <references count="2">
          <reference field="4294967294" count="1" selected="0">
            <x v="1"/>
          </reference>
          <reference field="0" count="1">
            <x v="5"/>
          </reference>
        </references>
      </pivotArea>
    </format>
    <format dxfId="147">
      <pivotArea field="0" grandRow="1" outline="0" collapsedLevelsAreSubtotals="1" axis="axisRow" fieldPosition="0">
        <references count="1">
          <reference field="4294967294" count="1" selected="0">
            <x v="1"/>
          </reference>
        </references>
      </pivotArea>
    </format>
    <format dxfId="146">
      <pivotArea collapsedLevelsAreSubtotals="1" fieldPosition="0">
        <references count="2">
          <reference field="4294967294" count="1" selected="0">
            <x v="2"/>
          </reference>
          <reference field="0" count="1">
            <x v="0"/>
          </reference>
        </references>
      </pivotArea>
    </format>
    <format dxfId="145">
      <pivotArea collapsedLevelsAreSubtotals="1" fieldPosition="0">
        <references count="2">
          <reference field="4294967294" count="1" selected="0">
            <x v="2"/>
          </reference>
          <reference field="0" count="1">
            <x v="1"/>
          </reference>
        </references>
      </pivotArea>
    </format>
    <format dxfId="144">
      <pivotArea collapsedLevelsAreSubtotals="1" fieldPosition="0">
        <references count="2">
          <reference field="4294967294" count="1" selected="0">
            <x v="2"/>
          </reference>
          <reference field="0" count="1">
            <x v="2"/>
          </reference>
        </references>
      </pivotArea>
    </format>
    <format dxfId="143">
      <pivotArea collapsedLevelsAreSubtotals="1" fieldPosition="0">
        <references count="2">
          <reference field="4294967294" count="1" selected="0">
            <x v="2"/>
          </reference>
          <reference field="0" count="1">
            <x v="3"/>
          </reference>
        </references>
      </pivotArea>
    </format>
    <format dxfId="142">
      <pivotArea collapsedLevelsAreSubtotals="1" fieldPosition="0">
        <references count="2">
          <reference field="4294967294" count="1" selected="0">
            <x v="2"/>
          </reference>
          <reference field="0" count="1">
            <x v="4"/>
          </reference>
        </references>
      </pivotArea>
    </format>
    <format dxfId="141">
      <pivotArea collapsedLevelsAreSubtotals="1" fieldPosition="0">
        <references count="2">
          <reference field="4294967294" count="1" selected="0">
            <x v="2"/>
          </reference>
          <reference field="0" count="1">
            <x v="5"/>
          </reference>
        </references>
      </pivotArea>
    </format>
    <format dxfId="140">
      <pivotArea field="0" grandRow="1" outline="0" collapsedLevelsAreSubtotals="1" axis="axisRow" fieldPosition="0">
        <references count="1">
          <reference field="4294967294" count="1" selected="0">
            <x v="2"/>
          </reference>
        </references>
      </pivotArea>
    </format>
  </formats>
  <chartFormats count="4">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2" format="10" series="1">
      <pivotArea type="data" outline="0" fieldPosition="0">
        <references count="1">
          <reference field="4294967294"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53DD10-5A71-44AD-91F1-14286DDD456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40:I47" firstHeaderRow="0" firstDataRow="1" firstDataCol="1"/>
  <pivotFields count="17">
    <pivotField axis="axisRow" showAll="0">
      <items count="7">
        <item sd="0" x="0"/>
        <item sd="0" x="1"/>
        <item sd="0" x="2"/>
        <item sd="0" x="3"/>
        <item sd="0" x="4"/>
        <item sd="0" x="5"/>
        <item t="default"/>
      </items>
    </pivotField>
    <pivotField axis="axisRow" showAll="0">
      <items count="5">
        <item x="0"/>
        <item x="1"/>
        <item x="2"/>
        <item x="3"/>
        <item t="default"/>
      </items>
    </pivotField>
    <pivotField showAll="0"/>
    <pivotField showAll="0"/>
    <pivotField showAll="0"/>
    <pivotField showAll="0"/>
    <pivotField showAll="0"/>
    <pivotField showAll="0"/>
    <pivotField numFmtId="10" showAll="0"/>
    <pivotField dataField="1" showAll="0"/>
    <pivotField dataField="1" showAll="0"/>
    <pivotField dataField="1" showAll="0"/>
    <pivotField dataField="1" showAll="0"/>
    <pivotField dataField="1" showAll="0"/>
    <pivotField numFmtId="10" showAll="0"/>
    <pivotField showAll="0"/>
    <pivotField numFmtId="10" showAll="0"/>
  </pivotFields>
  <rowFields count="2">
    <field x="0"/>
    <field x="1"/>
  </rowFields>
  <rowItems count="7">
    <i>
      <x/>
    </i>
    <i>
      <x v="1"/>
    </i>
    <i>
      <x v="2"/>
    </i>
    <i>
      <x v="3"/>
    </i>
    <i>
      <x v="4"/>
    </i>
    <i>
      <x v="5"/>
    </i>
    <i t="grand">
      <x/>
    </i>
  </rowItems>
  <colFields count="1">
    <field x="-2"/>
  </colFields>
  <colItems count="5">
    <i>
      <x/>
    </i>
    <i i="1">
      <x v="1"/>
    </i>
    <i i="2">
      <x v="2"/>
    </i>
    <i i="3">
      <x v="3"/>
    </i>
    <i i="4">
      <x v="4"/>
    </i>
  </colItems>
  <dataFields count="5">
    <dataField name="Total Revenue" fld="9" baseField="0" baseItem="0" numFmtId="167"/>
    <dataField name="Yearly Subscribers" fld="10" baseField="0" baseItem="0"/>
    <dataField name="Yearly Net Profit" fld="11" baseField="0" baseItem="0" numFmtId="167"/>
    <dataField name="Op Income" fld="12" baseField="0" baseItem="0" numFmtId="168"/>
    <dataField name="Yearly Content Cost" fld="13" baseField="0" baseItem="0" numFmtId="168"/>
  </dataFields>
  <formats count="10">
    <format dxfId="164">
      <pivotArea outline="0" collapsedLevelsAreSubtotals="1" fieldPosition="0"/>
    </format>
    <format dxfId="163">
      <pivotArea outline="0" collapsedLevelsAreSubtotals="1" fieldPosition="0">
        <references count="1">
          <reference field="4294967294" count="1" selected="0">
            <x v="0"/>
          </reference>
        </references>
      </pivotArea>
    </format>
    <format dxfId="162">
      <pivotArea outline="0" collapsedLevelsAreSubtotals="1" fieldPosition="0">
        <references count="1">
          <reference field="4294967294" count="3" selected="0">
            <x v="2"/>
            <x v="3"/>
            <x v="4"/>
          </reference>
        </references>
      </pivotArea>
    </format>
    <format dxfId="161">
      <pivotArea dataOnly="0" labelOnly="1" outline="0" fieldPosition="0">
        <references count="1">
          <reference field="4294967294" count="3">
            <x v="2"/>
            <x v="3"/>
            <x v="4"/>
          </reference>
        </references>
      </pivotArea>
    </format>
    <format dxfId="160">
      <pivotArea dataOnly="0" outline="0" fieldPosition="0">
        <references count="1">
          <reference field="4294967294" count="1">
            <x v="0"/>
          </reference>
        </references>
      </pivotArea>
    </format>
    <format dxfId="159">
      <pivotArea dataOnly="0" outline="0" fieldPosition="0">
        <references count="1">
          <reference field="4294967294" count="1">
            <x v="2"/>
          </reference>
        </references>
      </pivotArea>
    </format>
    <format dxfId="158">
      <pivotArea outline="0" collapsedLevelsAreSubtotals="1" fieldPosition="0">
        <references count="1">
          <reference field="4294967294" count="1" selected="0">
            <x v="3"/>
          </reference>
        </references>
      </pivotArea>
    </format>
    <format dxfId="157">
      <pivotArea dataOnly="0" labelOnly="1" outline="0" fieldPosition="0">
        <references count="1">
          <reference field="4294967294" count="1">
            <x v="3"/>
          </reference>
        </references>
      </pivotArea>
    </format>
    <format dxfId="156">
      <pivotArea outline="0" collapsedLevelsAreSubtotals="1" fieldPosition="0">
        <references count="1">
          <reference field="4294967294" count="1" selected="0">
            <x v="4"/>
          </reference>
        </references>
      </pivotArea>
    </format>
    <format dxfId="155">
      <pivotArea dataOnly="0" labelOnly="1" outline="0" fieldPosition="0">
        <references count="1">
          <reference field="4294967294" count="1">
            <x v="4"/>
          </reference>
        </references>
      </pivotArea>
    </format>
  </formats>
  <chartFormats count="20">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17"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18" format="7" series="1">
      <pivotArea type="data" outline="0" fieldPosition="0">
        <references count="1">
          <reference field="4294967294" count="1" selected="0">
            <x v="2"/>
          </reference>
        </references>
      </pivotArea>
    </chartFormat>
    <chartFormat chart="18" format="8" series="1">
      <pivotArea type="data" outline="0" fieldPosition="0">
        <references count="1">
          <reference field="4294967294" count="1" selected="0">
            <x v="3"/>
          </reference>
        </references>
      </pivotArea>
    </chartFormat>
    <chartFormat chart="18" format="9" series="1">
      <pivotArea type="data" outline="0" fieldPosition="0">
        <references count="1">
          <reference field="4294967294" count="1" selected="0">
            <x v="4"/>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2"/>
          </reference>
        </references>
      </pivotArea>
    </chartFormat>
    <chartFormat chart="19" format="13" series="1">
      <pivotArea type="data" outline="0" fieldPosition="0">
        <references count="1">
          <reference field="4294967294" count="1" selected="0">
            <x v="3"/>
          </reference>
        </references>
      </pivotArea>
    </chartFormat>
    <chartFormat chart="19" format="14" series="1">
      <pivotArea type="data" outline="0" fieldPosition="0">
        <references count="1">
          <reference field="4294967294" count="1" selected="0">
            <x v="4"/>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0" format="12" series="1">
      <pivotArea type="data" outline="0" fieldPosition="0">
        <references count="1">
          <reference field="4294967294" count="1" selected="0">
            <x v="2"/>
          </reference>
        </references>
      </pivotArea>
    </chartFormat>
    <chartFormat chart="20" format="13" series="1">
      <pivotArea type="data" outline="0" fieldPosition="0">
        <references count="1">
          <reference field="4294967294" count="1" selected="0">
            <x v="3"/>
          </reference>
        </references>
      </pivotArea>
    </chartFormat>
    <chartFormat chart="20" format="14" series="1">
      <pivotArea type="data" outline="0" fieldPosition="0">
        <references count="1">
          <reference field="4294967294"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4851AC-C0F3-4D71-8228-E22C0677871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F31:I38" firstHeaderRow="0" firstDataRow="1" firstDataCol="1"/>
  <pivotFields count="17">
    <pivotField axis="axisRow" showAll="0">
      <items count="7">
        <item sd="0" x="0"/>
        <item sd="0" x="1"/>
        <item sd="0" x="2"/>
        <item sd="0" x="3"/>
        <item sd="0" x="4"/>
        <item sd="0" x="5"/>
        <item t="default"/>
      </items>
    </pivotField>
    <pivotField axis="axisRow" showAll="0">
      <items count="5">
        <item x="0"/>
        <item x="1"/>
        <item x="2"/>
        <item x="3"/>
        <item t="default"/>
      </items>
    </pivotField>
    <pivotField showAll="0"/>
    <pivotField showAll="0"/>
    <pivotField showAll="0"/>
    <pivotField showAll="0"/>
    <pivotField dataField="1" showAll="0"/>
    <pivotField dataField="1" showAll="0"/>
    <pivotField dataField="1" numFmtId="10" showAll="0"/>
    <pivotField showAll="0"/>
    <pivotField showAll="0"/>
    <pivotField showAll="0"/>
    <pivotField showAll="0"/>
    <pivotField showAll="0"/>
    <pivotField numFmtId="10" showAll="0"/>
    <pivotField showAll="0"/>
    <pivotField numFmtId="10" showAll="0"/>
  </pivotFields>
  <rowFields count="2">
    <field x="0"/>
    <field x="1"/>
  </rowFields>
  <rowItems count="7">
    <i>
      <x/>
    </i>
    <i>
      <x v="1"/>
    </i>
    <i>
      <x v="2"/>
    </i>
    <i>
      <x v="3"/>
    </i>
    <i>
      <x v="4"/>
    </i>
    <i>
      <x v="5"/>
    </i>
    <i t="grand">
      <x/>
    </i>
  </rowItems>
  <colFields count="1">
    <field x="-2"/>
  </colFields>
  <colItems count="3">
    <i>
      <x/>
    </i>
    <i i="1">
      <x v="1"/>
    </i>
    <i i="2">
      <x v="2"/>
    </i>
  </colItems>
  <dataFields count="3">
    <dataField name="Op Income" fld="6" baseField="0" baseItem="0" numFmtId="168"/>
    <dataField name="Content Cost" fld="7" baseField="0" baseItem="0" numFmtId="168"/>
    <dataField name="Op Margin" fld="8" subtotal="average" baseField="0" baseItem="0" numFmtId="2"/>
  </dataFields>
  <formats count="4">
    <format dxfId="168">
      <pivotArea outline="0" collapsedLevelsAreSubtotals="1" fieldPosition="0">
        <references count="1">
          <reference field="4294967294" count="2" selected="0">
            <x v="0"/>
            <x v="1"/>
          </reference>
        </references>
      </pivotArea>
    </format>
    <format dxfId="167">
      <pivotArea outline="0" collapsedLevelsAreSubtotals="1" fieldPosition="0">
        <references count="1">
          <reference field="4294967294" count="1" selected="0">
            <x v="2"/>
          </reference>
        </references>
      </pivotArea>
    </format>
    <format dxfId="166">
      <pivotArea outline="0" collapsedLevelsAreSubtotals="1" fieldPosition="0">
        <references count="1">
          <reference field="4294967294" count="1" selected="0">
            <x v="0"/>
          </reference>
        </references>
      </pivotArea>
    </format>
    <format dxfId="165">
      <pivotArea outline="0" collapsedLevelsAreSubtotals="1" fieldPosition="0">
        <references count="1">
          <reference field="4294967294" count="1" selected="0">
            <x v="1"/>
          </reference>
        </references>
      </pivotArea>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E60830-ABD9-40F5-ACD1-C36D8473DA5C}" sourceName="Year">
  <pivotTables>
    <pivotTable tabId="11" name="PivotTable11"/>
    <pivotTable tabId="11" name="PivotTable4"/>
    <pivotTable tabId="11" name="PivotTable5"/>
    <pivotTable tabId="11" name="PivotTable6"/>
  </pivotTables>
  <data>
    <tabular pivotCacheId="1240930272">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E140BB3-455F-45AE-B633-FEB5B5D40FE9}" sourceName="Quarter">
  <pivotTables>
    <pivotTable tabId="11" name="PivotTable11"/>
    <pivotTable tabId="11" name="PivotTable4"/>
    <pivotTable tabId="11" name="PivotTable5"/>
    <pivotTable tabId="11" name="PivotTable6"/>
  </pivotTables>
  <data>
    <tabular pivotCacheId="12409302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9DC40C8-9154-4BEA-8456-80CAB8756037}" cache="Slicer_Year" caption="Year" style="Slicer Style 1" rowHeight="241300"/>
  <slicer name="Quarter" xr10:uid="{F99F803E-89D1-4884-BD9D-2A66207DB13D}" cache="Slicer_Quarter" caption="Quarte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B4CDA1-D0D1-460D-B796-81BAB1747555}" name="Table2" displayName="Table2" ref="A4:I10" totalsRowShown="0" headerRowDxfId="182" dataDxfId="180" headerRowBorderDxfId="181" tableBorderDxfId="179" totalsRowBorderDxfId="178">
  <autoFilter ref="A4:I10" xr:uid="{91B4CDA1-D0D1-460D-B796-81BAB1747555}"/>
  <tableColumns count="9">
    <tableColumn id="1" xr3:uid="{5679DF3A-5140-4411-9AE4-7338A47645ED}" name="Year" dataDxfId="177"/>
    <tableColumn id="2" xr3:uid="{7C68172F-8713-4CA9-BDE1-40D9CFF04091}" name="UCAN Rev ($M)" dataDxfId="176"/>
    <tableColumn id="3" xr3:uid="{8C72A022-357B-41BF-870A-951071CE652C}" name="EMEA Rev ($M)" dataDxfId="175"/>
    <tableColumn id="4" xr3:uid="{20147796-D1E2-448D-804F-645A97B38AC2}" name="LATAM Rev ($M)" dataDxfId="174"/>
    <tableColumn id="5" xr3:uid="{F19167D6-1F36-484B-AEB0-9D7F4EE4DEC7}" name="APAC Rev ($M)" dataDxfId="173"/>
    <tableColumn id="6" xr3:uid="{89494179-0B08-4527-8274-60F84B591015}" name="UCAN Subs (M)" dataDxfId="172"/>
    <tableColumn id="7" xr3:uid="{5215D98E-E598-4DC8-8413-2FA04260362C}" name="EMEA Subs (M)" dataDxfId="171"/>
    <tableColumn id="8" xr3:uid="{24BA8EB1-D2EB-45A4-B065-A0FB8B4D0FC6}" name="LATAM Subs (M)" dataDxfId="170"/>
    <tableColumn id="9" xr3:uid="{F1B7D0DA-1EC8-4486-B3F2-110FC1D81277}" name="APAC Subs (M)" dataDxfId="16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210953-1583-4665-A244-51BC56E78449}" name="Table1" displayName="Table1" ref="A4:Q28" totalsRowShown="0" headerRowDxfId="138" dataDxfId="137">
  <autoFilter ref="A4:Q28" xr:uid="{C5210953-1583-4665-A244-51BC56E78449}"/>
  <tableColumns count="17">
    <tableColumn id="1" xr3:uid="{74B5E639-CDF2-40D1-A77D-FE26252A1CDC}" name="Year" dataDxfId="136"/>
    <tableColumn id="2" xr3:uid="{9CCA55C9-9CF5-435B-811D-F14CA1CB7618}" name="Quarter" dataDxfId="135"/>
    <tableColumn id="3" xr3:uid="{5818A23C-4778-4F7A-8E41-19BE0224488B}" name="Year-Quarter" dataDxfId="134"/>
    <tableColumn id="4" xr3:uid="{658F6188-0C8B-431D-8076-3939E26C874D}" name="Total Revenue ($M)" dataDxfId="133"/>
    <tableColumn id="5" xr3:uid="{4EE0A6B0-3FBB-487E-BA09-A75DDFBD5B73}" name="Total Subscribers (M)" dataDxfId="132"/>
    <tableColumn id="6" xr3:uid="{DE95F748-18C9-4A6B-ACED-FD0EAE05DF70}" name="Net Profit ($M)" dataDxfId="131"/>
    <tableColumn id="7" xr3:uid="{CD1245F1-EBED-4B2A-8379-7738AABF6B61}" name="Op Income ($M)" dataDxfId="130"/>
    <tableColumn id="8" xr3:uid="{5E27679A-6941-4898-866C-BF56F19B2921}" name="Content Cost ($M)" dataDxfId="129"/>
    <tableColumn id="9" xr3:uid="{25503BD5-01A7-4D66-A448-54076077E9E2}" name="Op Margin %" dataDxfId="128"/>
    <tableColumn id="10" xr3:uid="{BD65010E-E57A-4DB5-AB5F-89A996A28A7D}" name="Yearly Total Revenue ($M)" dataDxfId="127"/>
    <tableColumn id="11" xr3:uid="{5F425941-467C-43D8-AD67-6708CABDE5E9}" name="Yearly Subscribers (M)" dataDxfId="126"/>
    <tableColumn id="12" xr3:uid="{5FE133F5-ACCC-4878-9082-9766CD68940F}" name="Yearly Net Profit ($M)" dataDxfId="125"/>
    <tableColumn id="13" xr3:uid="{0002D24E-52E4-4895-B3EC-FD8DF984ECE6}" name="Yearly Op Income ($M)" dataDxfId="124"/>
    <tableColumn id="14" xr3:uid="{603A821A-FEF0-4D38-8A6B-07A6EB503EB0}" name="Yearly Content Cost ($M)" dataDxfId="123"/>
    <tableColumn id="15" xr3:uid="{E1455A67-8C51-4022-A5E8-65E264A05EDB}" name="Yearly Op Margin %" dataDxfId="122"/>
    <tableColumn id="16" xr3:uid="{E1A19190-2A50-42C6-8C70-6F814222C1A5}" name="Rev Growth YoY %" dataDxfId="121"/>
    <tableColumn id="17" xr3:uid="{26EB2D4F-064C-4337-9A99-1E91FB26319B}" name="Profit Margin %" dataDxfId="12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table" Target="../tables/table2.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00E76-5E8B-4F84-ABD8-B317AA401A40}">
  <sheetPr>
    <tabColor theme="5"/>
  </sheetPr>
  <dimension ref="A1:AB60"/>
  <sheetViews>
    <sheetView showGridLines="0" tabSelected="1" zoomScale="84" zoomScaleNormal="70" workbookViewId="0">
      <selection activeCell="P11" sqref="P11"/>
    </sheetView>
  </sheetViews>
  <sheetFormatPr baseColWidth="10" defaultColWidth="8.83203125" defaultRowHeight="15" x14ac:dyDescent="0.2"/>
  <cols>
    <col min="1" max="1" width="12.6640625" customWidth="1"/>
  </cols>
  <sheetData>
    <row r="1" spans="1:28" ht="14.25" customHeight="1" x14ac:dyDescent="0.2">
      <c r="A1" s="72"/>
      <c r="B1" s="72"/>
      <c r="C1" s="72"/>
      <c r="D1" s="74" t="s">
        <v>0</v>
      </c>
      <c r="E1" s="74"/>
      <c r="F1" s="74"/>
      <c r="G1" s="74"/>
      <c r="H1" s="74"/>
      <c r="I1" s="74"/>
      <c r="J1" s="74"/>
      <c r="K1" s="74"/>
      <c r="L1" s="74"/>
      <c r="M1" s="74"/>
      <c r="N1" s="74"/>
      <c r="O1" s="74"/>
      <c r="P1" s="74"/>
      <c r="Q1" s="74"/>
      <c r="R1" s="74"/>
      <c r="S1" s="74"/>
      <c r="T1" s="74"/>
      <c r="U1" s="74"/>
      <c r="V1" s="74"/>
      <c r="W1" s="74"/>
      <c r="X1" s="74"/>
      <c r="Y1" s="74"/>
      <c r="Z1" s="74"/>
      <c r="AA1" s="74"/>
      <c r="AB1" s="37"/>
    </row>
    <row r="2" spans="1:28" ht="14.25" customHeight="1" x14ac:dyDescent="0.2">
      <c r="A2" s="72"/>
      <c r="B2" s="72"/>
      <c r="C2" s="72"/>
      <c r="D2" s="74"/>
      <c r="E2" s="74"/>
      <c r="F2" s="74"/>
      <c r="G2" s="74"/>
      <c r="H2" s="74"/>
      <c r="I2" s="74"/>
      <c r="J2" s="74"/>
      <c r="K2" s="74"/>
      <c r="L2" s="74"/>
      <c r="M2" s="74"/>
      <c r="N2" s="74"/>
      <c r="O2" s="74"/>
      <c r="P2" s="74"/>
      <c r="Q2" s="74"/>
      <c r="R2" s="74"/>
      <c r="S2" s="74"/>
      <c r="T2" s="74"/>
      <c r="U2" s="74"/>
      <c r="V2" s="74"/>
      <c r="W2" s="74"/>
      <c r="X2" s="74"/>
      <c r="Y2" s="74"/>
      <c r="Z2" s="74"/>
      <c r="AA2" s="74"/>
      <c r="AB2" s="37"/>
    </row>
    <row r="3" spans="1:28" ht="14.25" customHeight="1" x14ac:dyDescent="0.2">
      <c r="A3" s="72"/>
      <c r="B3" s="72"/>
      <c r="C3" s="72"/>
      <c r="D3" s="74"/>
      <c r="E3" s="74"/>
      <c r="F3" s="74"/>
      <c r="G3" s="74"/>
      <c r="H3" s="74"/>
      <c r="I3" s="74"/>
      <c r="J3" s="74"/>
      <c r="K3" s="74"/>
      <c r="L3" s="74"/>
      <c r="M3" s="74"/>
      <c r="N3" s="74"/>
      <c r="O3" s="74"/>
      <c r="P3" s="74"/>
      <c r="Q3" s="74"/>
      <c r="R3" s="74"/>
      <c r="S3" s="74"/>
      <c r="T3" s="74"/>
      <c r="U3" s="74"/>
      <c r="V3" s="74"/>
      <c r="W3" s="74"/>
      <c r="X3" s="74"/>
      <c r="Y3" s="74"/>
      <c r="Z3" s="74"/>
      <c r="AA3" s="74"/>
      <c r="AB3" s="37"/>
    </row>
    <row r="4" spans="1:28" ht="14.25" customHeight="1" x14ac:dyDescent="0.2">
      <c r="A4" s="72"/>
      <c r="B4" s="72"/>
      <c r="C4" s="72"/>
      <c r="D4" s="74"/>
      <c r="E4" s="74"/>
      <c r="F4" s="74"/>
      <c r="G4" s="74"/>
      <c r="H4" s="74"/>
      <c r="I4" s="74"/>
      <c r="J4" s="74"/>
      <c r="K4" s="74"/>
      <c r="L4" s="74"/>
      <c r="M4" s="74"/>
      <c r="N4" s="74"/>
      <c r="O4" s="74"/>
      <c r="P4" s="74"/>
      <c r="Q4" s="74"/>
      <c r="R4" s="74"/>
      <c r="S4" s="74"/>
      <c r="T4" s="74"/>
      <c r="U4" s="74"/>
      <c r="V4" s="74"/>
      <c r="W4" s="74"/>
      <c r="X4" s="74"/>
      <c r="Y4" s="74"/>
      <c r="Z4" s="74"/>
      <c r="AA4" s="74"/>
      <c r="AB4" s="37"/>
    </row>
    <row r="5" spans="1:28" ht="14.25" customHeight="1" x14ac:dyDescent="0.2">
      <c r="A5" s="73"/>
      <c r="B5" s="73"/>
      <c r="C5" s="73"/>
      <c r="D5" s="74"/>
      <c r="E5" s="74"/>
      <c r="F5" s="74"/>
      <c r="G5" s="74"/>
      <c r="H5" s="74"/>
      <c r="I5" s="74"/>
      <c r="J5" s="74"/>
      <c r="K5" s="74"/>
      <c r="L5" s="74"/>
      <c r="M5" s="74"/>
      <c r="N5" s="74"/>
      <c r="O5" s="74"/>
      <c r="P5" s="74"/>
      <c r="Q5" s="74"/>
      <c r="R5" s="74"/>
      <c r="S5" s="74"/>
      <c r="T5" s="74"/>
      <c r="U5" s="74"/>
      <c r="V5" s="74"/>
      <c r="W5" s="74"/>
      <c r="X5" s="74"/>
      <c r="Y5" s="74"/>
      <c r="Z5" s="74"/>
      <c r="AA5" s="74"/>
      <c r="AB5" s="37"/>
    </row>
    <row r="6" spans="1:28" x14ac:dyDescent="0.2">
      <c r="A6" s="21"/>
      <c r="B6" s="21"/>
      <c r="C6" s="21"/>
      <c r="D6" s="21"/>
      <c r="E6" s="21"/>
      <c r="F6" s="21"/>
      <c r="G6" s="21"/>
      <c r="H6" s="21"/>
      <c r="I6" s="21"/>
      <c r="J6" s="21"/>
      <c r="K6" s="21"/>
      <c r="L6" s="21"/>
      <c r="M6" s="21"/>
      <c r="N6" s="21"/>
      <c r="O6" s="21"/>
      <c r="P6" s="21"/>
      <c r="Q6" s="21"/>
      <c r="R6" s="21"/>
      <c r="S6" s="21"/>
      <c r="T6" s="21"/>
      <c r="U6" s="21"/>
      <c r="V6" s="21"/>
      <c r="W6" s="21"/>
      <c r="X6" s="21"/>
      <c r="Y6" s="21"/>
      <c r="Z6" s="21"/>
      <c r="AA6" s="37"/>
      <c r="AB6" s="37"/>
    </row>
    <row r="7" spans="1:28" x14ac:dyDescent="0.2">
      <c r="A7" s="21"/>
      <c r="B7" s="21"/>
      <c r="C7" s="21"/>
      <c r="D7" s="21"/>
      <c r="E7" s="21"/>
      <c r="F7" s="21"/>
      <c r="G7" s="21"/>
      <c r="H7" s="21"/>
      <c r="I7" s="21"/>
      <c r="J7" s="21"/>
      <c r="K7" s="21"/>
      <c r="L7" s="21"/>
      <c r="M7" s="21"/>
      <c r="N7" s="21"/>
      <c r="O7" s="21"/>
      <c r="P7" s="21"/>
      <c r="Q7" s="21"/>
      <c r="R7" s="21"/>
      <c r="S7" s="21"/>
      <c r="T7" s="21"/>
      <c r="U7" s="21"/>
      <c r="V7" s="21"/>
      <c r="W7" s="21"/>
      <c r="X7" s="21"/>
      <c r="Y7" s="21"/>
      <c r="Z7" s="21"/>
      <c r="AA7" s="37"/>
      <c r="AB7" s="37"/>
    </row>
    <row r="8" spans="1:28" x14ac:dyDescent="0.2">
      <c r="A8" s="21"/>
      <c r="B8" s="21"/>
      <c r="C8" s="21"/>
      <c r="D8" s="21"/>
      <c r="E8" s="21"/>
      <c r="F8" s="21"/>
      <c r="G8" s="21"/>
      <c r="H8" s="21"/>
      <c r="I8" s="21"/>
      <c r="J8" s="21"/>
      <c r="K8" s="21"/>
      <c r="L8" s="21"/>
      <c r="M8" s="21"/>
      <c r="N8" s="21"/>
      <c r="O8" s="21"/>
      <c r="P8" s="21"/>
      <c r="Q8" s="21"/>
      <c r="R8" s="21"/>
      <c r="S8" s="21"/>
      <c r="T8" s="21"/>
      <c r="U8" s="21"/>
      <c r="V8" s="21"/>
      <c r="W8" s="21"/>
      <c r="X8" s="21"/>
      <c r="Y8" s="21"/>
      <c r="Z8" s="21"/>
      <c r="AA8" s="37"/>
      <c r="AB8" s="37"/>
    </row>
    <row r="9" spans="1:28" x14ac:dyDescent="0.2">
      <c r="A9" s="21"/>
      <c r="B9" s="21"/>
      <c r="C9" s="21"/>
      <c r="D9" s="21"/>
      <c r="E9" s="21"/>
      <c r="F9" s="21"/>
      <c r="G9" s="21"/>
      <c r="H9" s="21"/>
      <c r="I9" s="21"/>
      <c r="J9" s="21"/>
      <c r="K9" s="21"/>
      <c r="L9" s="21"/>
      <c r="M9" s="36"/>
      <c r="N9" s="21"/>
      <c r="O9" s="21"/>
      <c r="P9" s="21"/>
      <c r="Q9" s="21"/>
      <c r="R9" s="21"/>
      <c r="S9" s="21"/>
      <c r="T9" s="21"/>
      <c r="U9" s="21"/>
      <c r="V9" s="21"/>
      <c r="W9" s="21"/>
      <c r="X9" s="21"/>
      <c r="Y9" s="21"/>
      <c r="Z9" s="21"/>
      <c r="AA9" s="37"/>
      <c r="AB9" s="37"/>
    </row>
    <row r="10" spans="1:28" x14ac:dyDescent="0.2">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37"/>
      <c r="AB10" s="37"/>
    </row>
    <row r="11" spans="1:28" x14ac:dyDescent="0.2">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37"/>
      <c r="AB11" s="37"/>
    </row>
    <row r="12" spans="1:28" x14ac:dyDescent="0.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37"/>
      <c r="AB12" s="37"/>
    </row>
    <row r="13" spans="1:28" x14ac:dyDescent="0.2">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37"/>
      <c r="AB13" s="37"/>
    </row>
    <row r="14" spans="1:28" x14ac:dyDescent="0.2">
      <c r="A14" s="21"/>
      <c r="B14" s="21"/>
      <c r="C14" s="21"/>
      <c r="D14" s="21"/>
      <c r="E14" s="21"/>
      <c r="F14" s="21"/>
      <c r="G14" s="21"/>
      <c r="H14" s="21"/>
      <c r="I14" s="21" t="s">
        <v>1</v>
      </c>
      <c r="J14" s="21"/>
      <c r="K14" s="21"/>
      <c r="L14" s="21"/>
      <c r="M14" s="21"/>
      <c r="N14" s="21"/>
      <c r="O14" s="21"/>
      <c r="P14" s="21"/>
      <c r="Q14" s="21"/>
      <c r="R14" s="21"/>
      <c r="S14" s="21"/>
      <c r="T14" s="21"/>
      <c r="U14" s="21"/>
      <c r="V14" s="21"/>
      <c r="W14" s="21"/>
      <c r="X14" s="21"/>
      <c r="Y14" s="21"/>
      <c r="Z14" s="21"/>
      <c r="AA14" s="37"/>
      <c r="AB14" s="37"/>
    </row>
    <row r="15" spans="1:28" x14ac:dyDescent="0.2">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37"/>
      <c r="AB15" s="37"/>
    </row>
    <row r="16" spans="1:28" x14ac:dyDescent="0.2">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37"/>
      <c r="AB16" s="37"/>
    </row>
    <row r="17" spans="1:28" x14ac:dyDescent="0.2">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37"/>
      <c r="AB17" s="37"/>
    </row>
    <row r="18" spans="1:28" x14ac:dyDescent="0.2">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37"/>
      <c r="AB18" s="37"/>
    </row>
    <row r="19" spans="1:28" x14ac:dyDescent="0.2">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37"/>
      <c r="AB19" s="37"/>
    </row>
    <row r="20" spans="1:28" x14ac:dyDescent="0.2">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37"/>
      <c r="AB20" s="37"/>
    </row>
    <row r="21" spans="1:28" x14ac:dyDescent="0.2">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37"/>
      <c r="AB21" s="37"/>
    </row>
    <row r="22" spans="1:28" x14ac:dyDescent="0.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37"/>
      <c r="AB22" s="37"/>
    </row>
    <row r="23" spans="1:28" x14ac:dyDescent="0.2">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37"/>
      <c r="AB23" s="37"/>
    </row>
    <row r="24" spans="1:28" x14ac:dyDescent="0.2">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37"/>
      <c r="AB24" s="37"/>
    </row>
    <row r="25" spans="1:28" x14ac:dyDescent="0.2">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37"/>
      <c r="AB25" s="37"/>
    </row>
    <row r="26" spans="1:28" x14ac:dyDescent="0.2">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37"/>
      <c r="AB26" s="37"/>
    </row>
    <row r="27" spans="1:28" x14ac:dyDescent="0.2">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37"/>
      <c r="AB27" s="37"/>
    </row>
    <row r="28" spans="1:28" x14ac:dyDescent="0.2">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37"/>
      <c r="AB28" s="37"/>
    </row>
    <row r="29" spans="1:28" x14ac:dyDescent="0.2">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37"/>
      <c r="AB29" s="37"/>
    </row>
    <row r="30" spans="1:28" x14ac:dyDescent="0.2">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37"/>
      <c r="AB30" s="37"/>
    </row>
    <row r="31" spans="1:28" x14ac:dyDescent="0.2">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37"/>
      <c r="AB31" s="37"/>
    </row>
    <row r="32" spans="1:28" x14ac:dyDescent="0.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37"/>
      <c r="AB32" s="37"/>
    </row>
    <row r="33" spans="1:28" x14ac:dyDescent="0.2">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37"/>
      <c r="AB33" s="37"/>
    </row>
    <row r="34" spans="1:28" x14ac:dyDescent="0.2">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37"/>
      <c r="AB34" s="37"/>
    </row>
    <row r="35" spans="1:28" x14ac:dyDescent="0.2">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37"/>
      <c r="AB35" s="37"/>
    </row>
    <row r="36" spans="1:28" x14ac:dyDescent="0.2">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37"/>
      <c r="AB36" s="37"/>
    </row>
    <row r="37" spans="1:28" x14ac:dyDescent="0.2">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37"/>
      <c r="AB37" s="37"/>
    </row>
    <row r="38" spans="1:28" x14ac:dyDescent="0.2">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37"/>
      <c r="AB38" s="37"/>
    </row>
    <row r="39" spans="1:28" x14ac:dyDescent="0.2">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37"/>
      <c r="AB39" s="37"/>
    </row>
    <row r="40" spans="1:28" x14ac:dyDescent="0.2">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37"/>
      <c r="AB40" s="37"/>
    </row>
    <row r="41" spans="1:28" x14ac:dyDescent="0.2">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37"/>
      <c r="AB41" s="37"/>
    </row>
    <row r="42" spans="1:28" x14ac:dyDescent="0.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37"/>
      <c r="AB42" s="37"/>
    </row>
    <row r="43" spans="1:28" x14ac:dyDescent="0.2">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37"/>
      <c r="AB43" s="37"/>
    </row>
    <row r="44" spans="1:28" x14ac:dyDescent="0.2">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37"/>
      <c r="AB44" s="37"/>
    </row>
    <row r="45" spans="1:28" x14ac:dyDescent="0.2">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37"/>
      <c r="AB45" s="37"/>
    </row>
    <row r="46" spans="1:28" x14ac:dyDescent="0.2">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37"/>
      <c r="AB46" s="37"/>
    </row>
    <row r="47" spans="1:28" x14ac:dyDescent="0.2">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37"/>
      <c r="AB47" s="37"/>
    </row>
    <row r="48" spans="1:28" x14ac:dyDescent="0.2">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37"/>
      <c r="AB48" s="37"/>
    </row>
    <row r="49" spans="1:28" x14ac:dyDescent="0.2">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37"/>
      <c r="AB49" s="37"/>
    </row>
    <row r="50" spans="1:28" x14ac:dyDescent="0.2">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37"/>
      <c r="AB50" s="37"/>
    </row>
    <row r="51" spans="1:28" x14ac:dyDescent="0.2">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37"/>
      <c r="AB51" s="37"/>
    </row>
    <row r="52" spans="1:28" x14ac:dyDescent="0.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37"/>
      <c r="AB52" s="37"/>
    </row>
    <row r="53" spans="1:28" x14ac:dyDescent="0.2">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37"/>
      <c r="AB53" s="37"/>
    </row>
    <row r="54" spans="1:28" x14ac:dyDescent="0.2">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37"/>
      <c r="AB54" s="37"/>
    </row>
    <row r="55" spans="1:28" x14ac:dyDescent="0.2">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37"/>
      <c r="AB55" s="37"/>
    </row>
    <row r="56" spans="1:28" x14ac:dyDescent="0.2">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37"/>
      <c r="AB56" s="37"/>
    </row>
    <row r="57" spans="1:28" x14ac:dyDescent="0.2">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37"/>
      <c r="AB57" s="37"/>
    </row>
    <row r="58" spans="1:28" x14ac:dyDescent="0.2">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37"/>
      <c r="AB58" s="37"/>
    </row>
    <row r="59" spans="1:28" x14ac:dyDescent="0.2">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37"/>
      <c r="AB59" s="37"/>
    </row>
    <row r="60" spans="1:28" x14ac:dyDescent="0.2">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37"/>
      <c r="AB60" s="37"/>
    </row>
  </sheetData>
  <mergeCells count="2">
    <mergeCell ref="A1:C5"/>
    <mergeCell ref="D1:AA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A623"/>
  </sheetPr>
  <dimension ref="A1:S28"/>
  <sheetViews>
    <sheetView showGridLines="0" zoomScale="115" workbookViewId="0">
      <pane ySplit="4" topLeftCell="A11" activePane="bottomLeft" state="frozen"/>
      <selection pane="bottomLeft" activeCell="H16" sqref="H16"/>
    </sheetView>
  </sheetViews>
  <sheetFormatPr baseColWidth="10" defaultColWidth="8.6640625" defaultRowHeight="15" x14ac:dyDescent="0.2"/>
  <cols>
    <col min="1" max="1" width="10.1640625" bestFit="1" customWidth="1"/>
    <col min="2" max="2" width="17.6640625" bestFit="1" customWidth="1"/>
    <col min="3" max="3" width="16.33203125" bestFit="1" customWidth="1"/>
    <col min="4" max="4" width="12.5" bestFit="1" customWidth="1"/>
    <col min="5" max="6" width="22" bestFit="1" customWidth="1"/>
    <col min="7" max="7" width="14" customWidth="1"/>
    <col min="8" max="8" width="18" customWidth="1"/>
    <col min="9" max="9" width="16" customWidth="1"/>
  </cols>
  <sheetData>
    <row r="1" spans="1:19" x14ac:dyDescent="0.2">
      <c r="A1" s="75" t="s">
        <v>95</v>
      </c>
      <c r="B1" s="76"/>
      <c r="C1" s="76"/>
      <c r="D1" s="76"/>
      <c r="E1" s="76"/>
      <c r="F1" s="76"/>
      <c r="G1" s="76"/>
      <c r="H1" s="76"/>
      <c r="I1" s="76"/>
      <c r="J1" s="76"/>
      <c r="K1" s="76"/>
      <c r="L1" s="76"/>
      <c r="M1" s="76"/>
      <c r="N1" s="76"/>
      <c r="O1" s="76"/>
      <c r="P1" s="76"/>
      <c r="Q1" s="76"/>
      <c r="R1" s="76"/>
      <c r="S1" s="76"/>
    </row>
    <row r="2" spans="1:19" x14ac:dyDescent="0.2">
      <c r="A2" s="76"/>
      <c r="B2" s="76"/>
      <c r="C2" s="76"/>
      <c r="D2" s="76"/>
      <c r="E2" s="76"/>
      <c r="F2" s="76"/>
      <c r="G2" s="76"/>
      <c r="H2" s="76"/>
      <c r="I2" s="76"/>
      <c r="J2" s="76"/>
      <c r="K2" s="76"/>
      <c r="L2" s="76"/>
      <c r="M2" s="76"/>
      <c r="N2" s="76"/>
      <c r="O2" s="76"/>
      <c r="P2" s="76"/>
      <c r="Q2" s="76"/>
      <c r="R2" s="76"/>
      <c r="S2" s="76"/>
    </row>
    <row r="4" spans="1:19" ht="28" x14ac:dyDescent="0.2">
      <c r="A4" s="1" t="s">
        <v>2</v>
      </c>
      <c r="B4" s="1" t="s">
        <v>5</v>
      </c>
      <c r="C4" s="1" t="s">
        <v>6</v>
      </c>
      <c r="D4" s="1" t="s">
        <v>7</v>
      </c>
      <c r="E4" s="1" t="s">
        <v>8</v>
      </c>
      <c r="F4" s="1" t="s">
        <v>9</v>
      </c>
      <c r="G4" s="1" t="s">
        <v>10</v>
      </c>
      <c r="H4" s="1" t="s">
        <v>17</v>
      </c>
      <c r="I4" s="1" t="s">
        <v>18</v>
      </c>
    </row>
    <row r="5" spans="1:19" x14ac:dyDescent="0.2">
      <c r="A5" s="17">
        <v>2019</v>
      </c>
      <c r="B5" s="3">
        <v>20157</v>
      </c>
      <c r="C5" s="4">
        <v>167.1</v>
      </c>
      <c r="D5" s="3">
        <v>1867</v>
      </c>
      <c r="E5" s="3">
        <v>2604</v>
      </c>
      <c r="F5" s="3">
        <v>13916</v>
      </c>
      <c r="G5" s="6">
        <v>0.129</v>
      </c>
      <c r="H5" s="13" t="s">
        <v>21</v>
      </c>
      <c r="I5" s="6">
        <v>9.2999999999999999E-2</v>
      </c>
    </row>
    <row r="6" spans="1:19" x14ac:dyDescent="0.2">
      <c r="A6" s="18">
        <v>2020</v>
      </c>
      <c r="B6" s="8">
        <v>24996</v>
      </c>
      <c r="C6" s="9">
        <v>203.7</v>
      </c>
      <c r="D6" s="8">
        <v>2761</v>
      </c>
      <c r="E6" s="8">
        <v>4585</v>
      </c>
      <c r="F6" s="8">
        <v>17332</v>
      </c>
      <c r="G6" s="11">
        <v>0.183</v>
      </c>
      <c r="H6" s="11">
        <v>0.24</v>
      </c>
      <c r="I6" s="11">
        <v>0.11</v>
      </c>
    </row>
    <row r="7" spans="1:19" x14ac:dyDescent="0.2">
      <c r="A7" s="17">
        <v>2021</v>
      </c>
      <c r="B7" s="3">
        <v>29698</v>
      </c>
      <c r="C7" s="4">
        <v>221.8</v>
      </c>
      <c r="D7" s="3">
        <v>5116</v>
      </c>
      <c r="E7" s="3">
        <v>6195</v>
      </c>
      <c r="F7" s="3">
        <v>17702</v>
      </c>
      <c r="G7" s="6">
        <v>0.20899999999999999</v>
      </c>
      <c r="H7" s="6">
        <v>0.188</v>
      </c>
      <c r="I7" s="6">
        <v>0.17199999999999999</v>
      </c>
    </row>
    <row r="8" spans="1:19" x14ac:dyDescent="0.2">
      <c r="A8" s="18">
        <v>2022</v>
      </c>
      <c r="B8" s="8">
        <v>31616</v>
      </c>
      <c r="C8" s="9">
        <v>220.7</v>
      </c>
      <c r="D8" s="8">
        <v>1625</v>
      </c>
      <c r="E8" s="8">
        <v>5633</v>
      </c>
      <c r="F8" s="8">
        <v>17126</v>
      </c>
      <c r="G8" s="11">
        <v>0.17799999999999999</v>
      </c>
      <c r="H8" s="11">
        <v>6.4000000000000001E-2</v>
      </c>
      <c r="I8" s="11">
        <v>5.0999999999999997E-2</v>
      </c>
    </row>
    <row r="9" spans="1:19" x14ac:dyDescent="0.2">
      <c r="A9" s="17">
        <v>2023</v>
      </c>
      <c r="B9" s="3">
        <v>33723</v>
      </c>
      <c r="C9" s="4">
        <v>260.3</v>
      </c>
      <c r="D9" s="3">
        <v>5408</v>
      </c>
      <c r="E9" s="3">
        <v>7006</v>
      </c>
      <c r="F9" s="3">
        <v>19132</v>
      </c>
      <c r="G9" s="6">
        <v>0.20799999999999999</v>
      </c>
      <c r="H9" s="6">
        <v>6.7000000000000004E-2</v>
      </c>
      <c r="I9" s="6">
        <v>0.16</v>
      </c>
    </row>
    <row r="10" spans="1:19" x14ac:dyDescent="0.2">
      <c r="A10" s="18">
        <v>2024</v>
      </c>
      <c r="B10" s="8">
        <v>38948</v>
      </c>
      <c r="C10" s="9">
        <v>301.60000000000002</v>
      </c>
      <c r="D10" s="8">
        <v>8884</v>
      </c>
      <c r="E10" s="8">
        <v>10419</v>
      </c>
      <c r="F10" s="8">
        <v>17980</v>
      </c>
      <c r="G10" s="11">
        <v>0.26700000000000002</v>
      </c>
      <c r="H10" s="11">
        <v>0.155</v>
      </c>
      <c r="I10" s="11">
        <v>0.22800000000000001</v>
      </c>
    </row>
    <row r="12" spans="1:19" x14ac:dyDescent="0.2">
      <c r="A12" s="58" t="s">
        <v>52</v>
      </c>
      <c r="B12" s="59" t="s">
        <v>53</v>
      </c>
      <c r="C12" s="59" t="s">
        <v>54</v>
      </c>
      <c r="D12" s="59" t="s">
        <v>55</v>
      </c>
      <c r="E12" s="59" t="s">
        <v>56</v>
      </c>
      <c r="F12" s="60" t="s">
        <v>49</v>
      </c>
    </row>
    <row r="13" spans="1:19" x14ac:dyDescent="0.2">
      <c r="A13" s="61">
        <v>2019</v>
      </c>
      <c r="B13" s="62">
        <v>167.1</v>
      </c>
      <c r="C13" s="63">
        <v>20157</v>
      </c>
      <c r="D13" s="63">
        <v>1867</v>
      </c>
      <c r="E13" s="64">
        <v>9.2999999999999999E-2</v>
      </c>
      <c r="F13" s="65">
        <v>13916</v>
      </c>
    </row>
    <row r="14" spans="1:19" x14ac:dyDescent="0.2">
      <c r="A14" s="61">
        <v>2020</v>
      </c>
      <c r="B14" s="62">
        <v>203.7</v>
      </c>
      <c r="C14" s="63">
        <v>24996</v>
      </c>
      <c r="D14" s="63">
        <v>2761</v>
      </c>
      <c r="E14" s="64">
        <v>0.11</v>
      </c>
      <c r="F14" s="65">
        <v>17332</v>
      </c>
    </row>
    <row r="15" spans="1:19" x14ac:dyDescent="0.2">
      <c r="A15" s="61">
        <v>2021</v>
      </c>
      <c r="B15" s="62">
        <v>221.8</v>
      </c>
      <c r="C15" s="63">
        <v>29698</v>
      </c>
      <c r="D15" s="63">
        <v>5116</v>
      </c>
      <c r="E15" s="64">
        <v>0.17199999999999999</v>
      </c>
      <c r="F15" s="65">
        <v>17702</v>
      </c>
    </row>
    <row r="16" spans="1:19" x14ac:dyDescent="0.2">
      <c r="A16" s="61">
        <v>2022</v>
      </c>
      <c r="B16" s="62">
        <v>220.7</v>
      </c>
      <c r="C16" s="63">
        <v>31616</v>
      </c>
      <c r="D16" s="63">
        <v>1625</v>
      </c>
      <c r="E16" s="64">
        <v>5.0999999999999997E-2</v>
      </c>
      <c r="F16" s="65">
        <v>17126</v>
      </c>
    </row>
    <row r="17" spans="1:6" x14ac:dyDescent="0.2">
      <c r="A17" s="61">
        <v>2023</v>
      </c>
      <c r="B17" s="62">
        <v>260.3</v>
      </c>
      <c r="C17" s="63">
        <v>33723</v>
      </c>
      <c r="D17" s="63">
        <v>5408</v>
      </c>
      <c r="E17" s="64">
        <v>0.16</v>
      </c>
      <c r="F17" s="65">
        <v>19132</v>
      </c>
    </row>
    <row r="18" spans="1:6" x14ac:dyDescent="0.2">
      <c r="A18" s="61">
        <v>2024</v>
      </c>
      <c r="B18" s="62">
        <v>301.60000000000002</v>
      </c>
      <c r="C18" s="63">
        <v>38948</v>
      </c>
      <c r="D18" s="63">
        <v>8884</v>
      </c>
      <c r="E18" s="64">
        <v>0.22800000000000001</v>
      </c>
      <c r="F18" s="65">
        <v>17980</v>
      </c>
    </row>
    <row r="19" spans="1:6" x14ac:dyDescent="0.2">
      <c r="A19" s="66" t="s">
        <v>50</v>
      </c>
      <c r="B19" s="67">
        <v>1375.1999999999998</v>
      </c>
      <c r="C19" s="68">
        <v>179138</v>
      </c>
      <c r="D19" s="68">
        <v>25661</v>
      </c>
      <c r="E19" s="69">
        <v>0.81399999999999995</v>
      </c>
      <c r="F19" s="70">
        <v>103188</v>
      </c>
    </row>
    <row r="21" spans="1:6" x14ac:dyDescent="0.2">
      <c r="A21" s="58" t="s">
        <v>52</v>
      </c>
      <c r="B21" s="59" t="s">
        <v>83</v>
      </c>
      <c r="C21" s="59" t="s">
        <v>84</v>
      </c>
      <c r="D21" s="60" t="s">
        <v>85</v>
      </c>
    </row>
    <row r="22" spans="1:6" x14ac:dyDescent="0.2">
      <c r="A22" s="61">
        <v>2019</v>
      </c>
      <c r="B22" s="62">
        <v>167.1</v>
      </c>
      <c r="C22" s="63">
        <v>20157</v>
      </c>
      <c r="D22" s="65">
        <v>1867</v>
      </c>
    </row>
    <row r="23" spans="1:6" x14ac:dyDescent="0.2">
      <c r="A23" s="61">
        <v>2020</v>
      </c>
      <c r="B23" s="62">
        <v>203.7</v>
      </c>
      <c r="C23" s="63">
        <v>24996</v>
      </c>
      <c r="D23" s="65">
        <v>2761</v>
      </c>
    </row>
    <row r="24" spans="1:6" x14ac:dyDescent="0.2">
      <c r="A24" s="61">
        <v>2021</v>
      </c>
      <c r="B24" s="62">
        <v>221.8</v>
      </c>
      <c r="C24" s="63">
        <v>29698</v>
      </c>
      <c r="D24" s="65">
        <v>5116</v>
      </c>
    </row>
    <row r="25" spans="1:6" x14ac:dyDescent="0.2">
      <c r="A25" s="61">
        <v>2022</v>
      </c>
      <c r="B25" s="62">
        <v>220.7</v>
      </c>
      <c r="C25" s="63">
        <v>31616</v>
      </c>
      <c r="D25" s="65">
        <v>1625</v>
      </c>
    </row>
    <row r="26" spans="1:6" x14ac:dyDescent="0.2">
      <c r="A26" s="61">
        <v>2023</v>
      </c>
      <c r="B26" s="62">
        <v>260.3</v>
      </c>
      <c r="C26" s="63">
        <v>33723</v>
      </c>
      <c r="D26" s="65">
        <v>5408</v>
      </c>
    </row>
    <row r="27" spans="1:6" x14ac:dyDescent="0.2">
      <c r="A27" s="61">
        <v>2024</v>
      </c>
      <c r="B27" s="62">
        <v>301.60000000000002</v>
      </c>
      <c r="C27" s="63">
        <v>38948</v>
      </c>
      <c r="D27" s="65">
        <v>8884</v>
      </c>
    </row>
    <row r="28" spans="1:6" x14ac:dyDescent="0.2">
      <c r="A28" s="66" t="s">
        <v>50</v>
      </c>
      <c r="B28" s="67">
        <v>1375.1999999999998</v>
      </c>
      <c r="C28" s="68">
        <v>179138</v>
      </c>
      <c r="D28" s="70">
        <v>25661</v>
      </c>
    </row>
  </sheetData>
  <mergeCells count="1">
    <mergeCell ref="A1:S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CC71"/>
  </sheetPr>
  <dimension ref="A1:M20"/>
  <sheetViews>
    <sheetView showGridLines="0" workbookViewId="0">
      <pane ySplit="4" topLeftCell="A5" activePane="bottomLeft" state="frozen"/>
      <selection pane="bottomLeft" activeCell="C14" sqref="C14"/>
    </sheetView>
  </sheetViews>
  <sheetFormatPr baseColWidth="10" defaultColWidth="8.6640625" defaultRowHeight="15" x14ac:dyDescent="0.2"/>
  <cols>
    <col min="1" max="1" width="12.6640625" bestFit="1" customWidth="1"/>
    <col min="2" max="3" width="20.6640625" bestFit="1" customWidth="1"/>
    <col min="4" max="4" width="20.33203125" bestFit="1" customWidth="1"/>
    <col min="5" max="5" width="20.6640625" bestFit="1" customWidth="1"/>
    <col min="6" max="6" width="15.6640625" bestFit="1" customWidth="1"/>
    <col min="7" max="7" width="10.6640625" bestFit="1" customWidth="1"/>
    <col min="8" max="24" width="21.83203125" bestFit="1" customWidth="1"/>
    <col min="25" max="26" width="25.6640625" bestFit="1" customWidth="1"/>
    <col min="27" max="27" width="25.1640625" bestFit="1" customWidth="1"/>
    <col min="28" max="28" width="26.6640625" bestFit="1" customWidth="1"/>
  </cols>
  <sheetData>
    <row r="1" spans="1:13" ht="15" customHeight="1" x14ac:dyDescent="0.2">
      <c r="A1" s="77" t="s">
        <v>93</v>
      </c>
      <c r="B1" s="77"/>
      <c r="C1" s="77"/>
      <c r="D1" s="77"/>
      <c r="E1" s="77"/>
      <c r="F1" s="77"/>
      <c r="G1" s="77"/>
      <c r="H1" s="77"/>
      <c r="I1" s="77"/>
      <c r="J1" s="77"/>
      <c r="K1" s="77"/>
      <c r="L1" s="77"/>
      <c r="M1" s="77"/>
    </row>
    <row r="2" spans="1:13" ht="15" customHeight="1" x14ac:dyDescent="0.2">
      <c r="A2" s="77"/>
      <c r="B2" s="77"/>
      <c r="C2" s="77"/>
      <c r="D2" s="77"/>
      <c r="E2" s="77"/>
      <c r="F2" s="77"/>
      <c r="G2" s="77"/>
      <c r="H2" s="77"/>
      <c r="I2" s="77"/>
      <c r="J2" s="77"/>
      <c r="K2" s="77"/>
      <c r="L2" s="77"/>
      <c r="M2" s="77"/>
    </row>
    <row r="4" spans="1:13" ht="28" x14ac:dyDescent="0.2">
      <c r="A4" s="28" t="s">
        <v>2</v>
      </c>
      <c r="B4" s="29" t="s">
        <v>63</v>
      </c>
      <c r="C4" s="29" t="s">
        <v>64</v>
      </c>
      <c r="D4" s="29" t="s">
        <v>65</v>
      </c>
      <c r="E4" s="29" t="s">
        <v>66</v>
      </c>
      <c r="F4" s="29" t="s">
        <v>67</v>
      </c>
      <c r="G4" s="29" t="s">
        <v>68</v>
      </c>
      <c r="H4" s="29" t="s">
        <v>69</v>
      </c>
      <c r="I4" s="30" t="s">
        <v>70</v>
      </c>
    </row>
    <row r="5" spans="1:13" x14ac:dyDescent="0.2">
      <c r="A5" s="38">
        <v>2019</v>
      </c>
      <c r="B5" s="3">
        <v>9762</v>
      </c>
      <c r="C5" s="3">
        <v>4279</v>
      </c>
      <c r="D5" s="3">
        <v>2686</v>
      </c>
      <c r="E5" s="3">
        <v>1396</v>
      </c>
      <c r="F5" s="22">
        <v>60.5</v>
      </c>
      <c r="G5" s="22">
        <v>37</v>
      </c>
      <c r="H5" s="22">
        <v>28.1</v>
      </c>
      <c r="I5" s="26">
        <v>12.3</v>
      </c>
    </row>
    <row r="6" spans="1:13" x14ac:dyDescent="0.2">
      <c r="A6" s="39">
        <v>2020</v>
      </c>
      <c r="B6" s="8">
        <v>11890</v>
      </c>
      <c r="C6" s="8">
        <v>5801</v>
      </c>
      <c r="D6" s="8">
        <v>3565</v>
      </c>
      <c r="E6" s="8">
        <v>2179</v>
      </c>
      <c r="F6" s="23">
        <v>72</v>
      </c>
      <c r="G6" s="23">
        <v>46.7</v>
      </c>
      <c r="H6" s="23">
        <v>31.1</v>
      </c>
      <c r="I6" s="27">
        <v>16.2</v>
      </c>
    </row>
    <row r="7" spans="1:13" x14ac:dyDescent="0.2">
      <c r="A7" s="38">
        <v>2021</v>
      </c>
      <c r="B7" s="3">
        <v>14076</v>
      </c>
      <c r="C7" s="3">
        <v>7649</v>
      </c>
      <c r="D7" s="3">
        <v>4243</v>
      </c>
      <c r="E7" s="3">
        <v>2908</v>
      </c>
      <c r="F7" s="22">
        <v>75.400000000000006</v>
      </c>
      <c r="G7" s="22">
        <v>61.2</v>
      </c>
      <c r="H7" s="22">
        <v>38.6</v>
      </c>
      <c r="I7" s="26">
        <v>31.9</v>
      </c>
    </row>
    <row r="8" spans="1:13" x14ac:dyDescent="0.2">
      <c r="A8" s="39">
        <v>2022</v>
      </c>
      <c r="B8" s="8">
        <v>14668</v>
      </c>
      <c r="C8" s="8">
        <v>8871</v>
      </c>
      <c r="D8" s="8">
        <v>4220</v>
      </c>
      <c r="E8" s="8">
        <v>3578</v>
      </c>
      <c r="F8" s="23">
        <v>73.900000000000006</v>
      </c>
      <c r="G8" s="23">
        <v>68.8</v>
      </c>
      <c r="H8" s="23">
        <v>40.700000000000003</v>
      </c>
      <c r="I8" s="27">
        <v>35.1</v>
      </c>
    </row>
    <row r="9" spans="1:13" x14ac:dyDescent="0.2">
      <c r="A9" s="38">
        <v>2023</v>
      </c>
      <c r="B9" s="3">
        <v>15055</v>
      </c>
      <c r="C9" s="3">
        <v>10587</v>
      </c>
      <c r="D9" s="3">
        <v>5249</v>
      </c>
      <c r="E9" s="3">
        <v>4324</v>
      </c>
      <c r="F9" s="22">
        <v>76.5</v>
      </c>
      <c r="G9" s="22">
        <v>77.400000000000006</v>
      </c>
      <c r="H9" s="22">
        <v>44.7</v>
      </c>
      <c r="I9" s="26">
        <v>45.6</v>
      </c>
    </row>
    <row r="10" spans="1:13" x14ac:dyDescent="0.2">
      <c r="A10" s="40">
        <v>2024</v>
      </c>
      <c r="B10" s="31">
        <v>17947</v>
      </c>
      <c r="C10" s="31">
        <v>14031</v>
      </c>
      <c r="D10" s="31">
        <v>7416</v>
      </c>
      <c r="E10" s="31">
        <v>6034</v>
      </c>
      <c r="F10" s="32">
        <v>87.4</v>
      </c>
      <c r="G10" s="32">
        <v>93.3</v>
      </c>
      <c r="H10" s="32">
        <v>54.8</v>
      </c>
      <c r="I10" s="33">
        <v>64.099999999999994</v>
      </c>
    </row>
    <row r="13" spans="1:13" x14ac:dyDescent="0.2">
      <c r="A13" s="41" t="s">
        <v>48</v>
      </c>
      <c r="B13" s="41" t="s">
        <v>71</v>
      </c>
      <c r="C13" s="41" t="s">
        <v>72</v>
      </c>
      <c r="D13" s="41" t="s">
        <v>73</v>
      </c>
      <c r="E13" s="41" t="s">
        <v>74</v>
      </c>
    </row>
    <row r="14" spans="1:13" x14ac:dyDescent="0.2">
      <c r="A14" s="19">
        <v>2019</v>
      </c>
      <c r="B14">
        <v>205.2</v>
      </c>
      <c r="C14">
        <v>238</v>
      </c>
      <c r="D14">
        <v>384.4</v>
      </c>
      <c r="E14">
        <v>445.7</v>
      </c>
    </row>
    <row r="15" spans="1:13" x14ac:dyDescent="0.2">
      <c r="A15" s="19">
        <v>2020</v>
      </c>
      <c r="B15">
        <v>205.2</v>
      </c>
      <c r="C15">
        <v>238</v>
      </c>
      <c r="D15">
        <v>384.4</v>
      </c>
      <c r="E15">
        <v>445.7</v>
      </c>
    </row>
    <row r="16" spans="1:13" x14ac:dyDescent="0.2">
      <c r="A16" s="19">
        <v>2021</v>
      </c>
      <c r="B16">
        <v>205.2</v>
      </c>
      <c r="C16">
        <v>238</v>
      </c>
      <c r="D16">
        <v>384.4</v>
      </c>
      <c r="E16">
        <v>445.7</v>
      </c>
    </row>
    <row r="17" spans="1:5" x14ac:dyDescent="0.2">
      <c r="A17" s="19">
        <v>2022</v>
      </c>
      <c r="B17">
        <v>205.2</v>
      </c>
      <c r="C17">
        <v>238</v>
      </c>
      <c r="D17">
        <v>384.4</v>
      </c>
      <c r="E17">
        <v>445.7</v>
      </c>
    </row>
    <row r="18" spans="1:5" x14ac:dyDescent="0.2">
      <c r="A18" s="19">
        <v>2023</v>
      </c>
      <c r="B18">
        <v>205.2</v>
      </c>
      <c r="C18">
        <v>238</v>
      </c>
      <c r="D18">
        <v>384.4</v>
      </c>
      <c r="E18">
        <v>445.7</v>
      </c>
    </row>
    <row r="19" spans="1:5" x14ac:dyDescent="0.2">
      <c r="A19" s="19">
        <v>2024</v>
      </c>
      <c r="B19">
        <v>205.2</v>
      </c>
      <c r="C19">
        <v>238</v>
      </c>
      <c r="D19">
        <v>384.4</v>
      </c>
      <c r="E19">
        <v>445.7</v>
      </c>
    </row>
    <row r="20" spans="1:5" x14ac:dyDescent="0.2">
      <c r="A20" s="42" t="s">
        <v>50</v>
      </c>
      <c r="B20" s="41">
        <v>205.2</v>
      </c>
      <c r="C20" s="41">
        <v>238</v>
      </c>
      <c r="D20" s="41">
        <v>384.4</v>
      </c>
      <c r="E20" s="41">
        <v>445.7</v>
      </c>
    </row>
  </sheetData>
  <mergeCells count="1">
    <mergeCell ref="A1:M2"/>
  </mergeCells>
  <conditionalFormatting pivot="1">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980B9"/>
  </sheetPr>
  <dimension ref="A1:Q35"/>
  <sheetViews>
    <sheetView showGridLines="0" workbookViewId="0">
      <pane ySplit="4" topLeftCell="A62" activePane="bottomLeft" state="frozen"/>
      <selection pane="bottomLeft" activeCell="D14" sqref="D14"/>
    </sheetView>
  </sheetViews>
  <sheetFormatPr baseColWidth="10" defaultColWidth="8.6640625" defaultRowHeight="15" x14ac:dyDescent="0.2"/>
  <cols>
    <col min="1" max="1" width="12.83203125" bestFit="1" customWidth="1"/>
    <col min="2" max="6" width="22" bestFit="1" customWidth="1"/>
    <col min="7" max="7" width="17.6640625" bestFit="1" customWidth="1"/>
    <col min="8" max="8" width="16" customWidth="1"/>
    <col min="9" max="9" width="12" customWidth="1"/>
  </cols>
  <sheetData>
    <row r="1" spans="1:17" x14ac:dyDescent="0.2">
      <c r="A1" s="75" t="s">
        <v>94</v>
      </c>
      <c r="B1" s="76"/>
      <c r="C1" s="76"/>
      <c r="D1" s="76"/>
      <c r="E1" s="76"/>
      <c r="F1" s="76"/>
      <c r="G1" s="76"/>
      <c r="H1" s="76"/>
      <c r="I1" s="76"/>
      <c r="J1" s="76"/>
      <c r="K1" s="76"/>
      <c r="L1" s="76"/>
      <c r="M1" s="76"/>
      <c r="N1" s="76"/>
      <c r="O1" s="76"/>
      <c r="P1" s="76"/>
      <c r="Q1" s="76"/>
    </row>
    <row r="2" spans="1:17" x14ac:dyDescent="0.2">
      <c r="A2" s="76"/>
      <c r="B2" s="76"/>
      <c r="C2" s="76"/>
      <c r="D2" s="76"/>
      <c r="E2" s="76"/>
      <c r="F2" s="76"/>
      <c r="G2" s="76"/>
      <c r="H2" s="76"/>
      <c r="I2" s="76"/>
      <c r="J2" s="76"/>
      <c r="K2" s="76"/>
      <c r="L2" s="76"/>
      <c r="M2" s="76"/>
      <c r="N2" s="76"/>
      <c r="O2" s="76"/>
      <c r="P2" s="76"/>
      <c r="Q2" s="76"/>
    </row>
    <row r="4" spans="1:17" x14ac:dyDescent="0.2">
      <c r="A4" s="14" t="s">
        <v>2</v>
      </c>
      <c r="B4" s="14" t="s">
        <v>3</v>
      </c>
      <c r="C4" s="14" t="s">
        <v>4</v>
      </c>
      <c r="D4" s="14" t="s">
        <v>5</v>
      </c>
      <c r="E4" s="14" t="s">
        <v>6</v>
      </c>
      <c r="F4" s="14" t="s">
        <v>7</v>
      </c>
      <c r="G4" s="14" t="s">
        <v>8</v>
      </c>
      <c r="H4" s="14" t="s">
        <v>9</v>
      </c>
      <c r="I4" s="14" t="s">
        <v>10</v>
      </c>
    </row>
    <row r="5" spans="1:17" x14ac:dyDescent="0.2">
      <c r="A5" s="13">
        <v>2019</v>
      </c>
      <c r="B5" s="15" t="s">
        <v>19</v>
      </c>
      <c r="C5" s="15" t="s">
        <v>20</v>
      </c>
      <c r="D5" s="3">
        <v>4099</v>
      </c>
      <c r="E5" s="4">
        <v>132.69999999999999</v>
      </c>
      <c r="F5" s="3">
        <v>1376</v>
      </c>
      <c r="G5" s="3">
        <v>1836</v>
      </c>
      <c r="H5" s="3">
        <v>9656</v>
      </c>
      <c r="I5" s="6">
        <v>0.44791412539643821</v>
      </c>
    </row>
    <row r="6" spans="1:17" x14ac:dyDescent="0.2">
      <c r="A6" s="57">
        <v>2019</v>
      </c>
      <c r="B6" s="16" t="s">
        <v>22</v>
      </c>
      <c r="C6" s="16" t="s">
        <v>23</v>
      </c>
      <c r="D6" s="8">
        <v>4387</v>
      </c>
      <c r="E6" s="9">
        <v>134.9</v>
      </c>
      <c r="F6" s="8">
        <v>1080</v>
      </c>
      <c r="G6" s="8">
        <v>2824</v>
      </c>
      <c r="H6" s="8">
        <v>9892</v>
      </c>
      <c r="I6" s="11">
        <v>0.64372008206063369</v>
      </c>
    </row>
    <row r="7" spans="1:17" x14ac:dyDescent="0.2">
      <c r="A7" s="13">
        <v>2019</v>
      </c>
      <c r="B7" s="15" t="s">
        <v>24</v>
      </c>
      <c r="C7" s="15" t="s">
        <v>25</v>
      </c>
      <c r="D7" s="3">
        <v>4669</v>
      </c>
      <c r="E7" s="4">
        <v>138.30000000000001</v>
      </c>
      <c r="F7" s="3">
        <v>2660</v>
      </c>
      <c r="G7" s="3">
        <v>3920</v>
      </c>
      <c r="H7" s="3">
        <v>10268</v>
      </c>
      <c r="I7" s="6">
        <v>0.83958020989505244</v>
      </c>
    </row>
    <row r="8" spans="1:17" x14ac:dyDescent="0.2">
      <c r="A8" s="16" t="s">
        <v>57</v>
      </c>
      <c r="B8" s="16" t="s">
        <v>26</v>
      </c>
      <c r="C8" s="16" t="s">
        <v>27</v>
      </c>
      <c r="D8" s="8">
        <v>4968</v>
      </c>
      <c r="E8" s="9">
        <v>145.6</v>
      </c>
      <c r="F8" s="8">
        <v>2348</v>
      </c>
      <c r="G8" s="8">
        <v>5416</v>
      </c>
      <c r="H8" s="8">
        <v>11572</v>
      </c>
      <c r="I8" s="11">
        <v>1.090177133655394</v>
      </c>
    </row>
    <row r="9" spans="1:17" x14ac:dyDescent="0.2">
      <c r="A9" s="15" t="s">
        <v>58</v>
      </c>
      <c r="B9" s="15" t="s">
        <v>19</v>
      </c>
      <c r="C9" s="15" t="s">
        <v>28</v>
      </c>
      <c r="D9" s="3">
        <v>5296</v>
      </c>
      <c r="E9" s="4">
        <v>153.19999999999999</v>
      </c>
      <c r="F9" s="3">
        <v>2836</v>
      </c>
      <c r="G9" s="3">
        <v>3832</v>
      </c>
      <c r="H9" s="3">
        <v>11096</v>
      </c>
      <c r="I9" s="6">
        <v>0.72356495468277948</v>
      </c>
    </row>
    <row r="10" spans="1:17" x14ac:dyDescent="0.2">
      <c r="A10" s="16" t="s">
        <v>58</v>
      </c>
      <c r="B10" s="16" t="s">
        <v>22</v>
      </c>
      <c r="C10" s="16" t="s">
        <v>29</v>
      </c>
      <c r="D10" s="8">
        <v>5699</v>
      </c>
      <c r="E10" s="9">
        <v>164.7</v>
      </c>
      <c r="F10" s="8">
        <v>4588</v>
      </c>
      <c r="G10" s="8">
        <v>5432</v>
      </c>
      <c r="H10" s="8">
        <v>11728</v>
      </c>
      <c r="I10" s="11">
        <v>0.95314967538164586</v>
      </c>
    </row>
    <row r="11" spans="1:17" x14ac:dyDescent="0.2">
      <c r="A11" s="15" t="s">
        <v>58</v>
      </c>
      <c r="B11" s="15" t="s">
        <v>24</v>
      </c>
      <c r="C11" s="15" t="s">
        <v>30</v>
      </c>
      <c r="D11" s="3">
        <v>6051</v>
      </c>
      <c r="E11" s="4">
        <v>168.2</v>
      </c>
      <c r="F11" s="3">
        <v>3160</v>
      </c>
      <c r="G11" s="3">
        <v>5260</v>
      </c>
      <c r="H11" s="3">
        <v>12416</v>
      </c>
      <c r="I11" s="6">
        <v>0.8692778053214345</v>
      </c>
    </row>
    <row r="12" spans="1:17" x14ac:dyDescent="0.2">
      <c r="A12" s="16" t="s">
        <v>58</v>
      </c>
      <c r="B12" s="16" t="s">
        <v>26</v>
      </c>
      <c r="C12" s="16" t="s">
        <v>31</v>
      </c>
      <c r="D12" s="8">
        <v>6389</v>
      </c>
      <c r="E12" s="9">
        <v>178.2</v>
      </c>
      <c r="F12" s="8">
        <v>5796</v>
      </c>
      <c r="G12" s="8">
        <v>5968</v>
      </c>
      <c r="H12" s="8">
        <v>13632</v>
      </c>
      <c r="I12" s="11">
        <v>0.93410549381749886</v>
      </c>
    </row>
    <row r="13" spans="1:17" x14ac:dyDescent="0.2">
      <c r="A13" s="15" t="s">
        <v>59</v>
      </c>
      <c r="B13" s="15" t="s">
        <v>19</v>
      </c>
      <c r="C13" s="15" t="s">
        <v>32</v>
      </c>
      <c r="D13" s="3">
        <v>6681</v>
      </c>
      <c r="E13" s="4">
        <v>193.5</v>
      </c>
      <c r="F13" s="3">
        <v>6828</v>
      </c>
      <c r="G13" s="3">
        <v>7840</v>
      </c>
      <c r="H13" s="3">
        <v>14068</v>
      </c>
      <c r="I13" s="6">
        <v>1.173477024397545</v>
      </c>
    </row>
    <row r="14" spans="1:17" x14ac:dyDescent="0.2">
      <c r="A14" s="16" t="s">
        <v>59</v>
      </c>
      <c r="B14" s="16" t="s">
        <v>22</v>
      </c>
      <c r="C14" s="16" t="s">
        <v>33</v>
      </c>
      <c r="D14" s="8">
        <v>7058</v>
      </c>
      <c r="E14" s="9">
        <v>206.1</v>
      </c>
      <c r="F14" s="8">
        <v>5412</v>
      </c>
      <c r="G14" s="8">
        <v>7916</v>
      </c>
      <c r="H14" s="8">
        <v>14088</v>
      </c>
      <c r="I14" s="11">
        <v>1.121564182487957</v>
      </c>
    </row>
    <row r="15" spans="1:17" x14ac:dyDescent="0.2">
      <c r="A15" s="15" t="s">
        <v>59</v>
      </c>
      <c r="B15" s="15" t="s">
        <v>24</v>
      </c>
      <c r="C15" s="15" t="s">
        <v>34</v>
      </c>
      <c r="D15" s="3">
        <v>7367</v>
      </c>
      <c r="E15" s="4">
        <v>213.6</v>
      </c>
      <c r="F15" s="3">
        <v>5796</v>
      </c>
      <c r="G15" s="3">
        <v>7024</v>
      </c>
      <c r="H15" s="3">
        <v>14508</v>
      </c>
      <c r="I15" s="6">
        <v>0.95344102076829107</v>
      </c>
    </row>
    <row r="16" spans="1:17" x14ac:dyDescent="0.2">
      <c r="A16" s="16" t="s">
        <v>59</v>
      </c>
      <c r="B16" s="16" t="s">
        <v>26</v>
      </c>
      <c r="C16" s="16" t="s">
        <v>35</v>
      </c>
      <c r="D16" s="8">
        <v>7770</v>
      </c>
      <c r="E16" s="9">
        <v>215.3</v>
      </c>
      <c r="F16" s="8">
        <v>2428</v>
      </c>
      <c r="G16" s="8">
        <v>5776</v>
      </c>
      <c r="H16" s="8">
        <v>16132</v>
      </c>
      <c r="I16" s="11">
        <v>0.74337194337194334</v>
      </c>
    </row>
    <row r="17" spans="1:9" x14ac:dyDescent="0.2">
      <c r="A17" s="15" t="s">
        <v>60</v>
      </c>
      <c r="B17" s="15" t="s">
        <v>19</v>
      </c>
      <c r="C17" s="15" t="s">
        <v>36</v>
      </c>
      <c r="D17" s="3">
        <v>8166</v>
      </c>
      <c r="E17" s="4">
        <v>215.9</v>
      </c>
      <c r="F17" s="3">
        <v>6388</v>
      </c>
      <c r="G17" s="3">
        <v>5480</v>
      </c>
      <c r="H17" s="3">
        <v>17132</v>
      </c>
      <c r="I17" s="6">
        <v>0.67107518981141323</v>
      </c>
    </row>
    <row r="18" spans="1:9" x14ac:dyDescent="0.2">
      <c r="A18" s="16" t="s">
        <v>60</v>
      </c>
      <c r="B18" s="16" t="s">
        <v>22</v>
      </c>
      <c r="C18" s="16" t="s">
        <v>37</v>
      </c>
      <c r="D18" s="8">
        <v>7691</v>
      </c>
      <c r="E18" s="9">
        <v>215.1</v>
      </c>
      <c r="F18" s="12">
        <v>-3880</v>
      </c>
      <c r="G18" s="8">
        <v>3896</v>
      </c>
      <c r="H18" s="8">
        <v>16752</v>
      </c>
      <c r="I18" s="11">
        <v>0.50656611623976078</v>
      </c>
    </row>
    <row r="19" spans="1:9" x14ac:dyDescent="0.2">
      <c r="A19" s="15" t="s">
        <v>60</v>
      </c>
      <c r="B19" s="15" t="s">
        <v>24</v>
      </c>
      <c r="C19" s="15" t="s">
        <v>38</v>
      </c>
      <c r="D19" s="3">
        <v>7620</v>
      </c>
      <c r="E19" s="4">
        <v>218.2</v>
      </c>
      <c r="F19" s="3">
        <v>2228</v>
      </c>
      <c r="G19" s="3">
        <v>6136</v>
      </c>
      <c r="H19" s="3">
        <v>15500</v>
      </c>
      <c r="I19" s="6">
        <v>0.80524934383202096</v>
      </c>
    </row>
    <row r="20" spans="1:9" x14ac:dyDescent="0.2">
      <c r="A20" s="16" t="s">
        <v>60</v>
      </c>
      <c r="B20" s="16" t="s">
        <v>26</v>
      </c>
      <c r="C20" s="16" t="s">
        <v>39</v>
      </c>
      <c r="D20" s="8">
        <v>7860</v>
      </c>
      <c r="E20" s="9">
        <v>224.5</v>
      </c>
      <c r="F20" s="12">
        <v>-2236</v>
      </c>
      <c r="G20" s="8">
        <v>4936</v>
      </c>
      <c r="H20" s="8">
        <v>16676</v>
      </c>
      <c r="I20" s="11">
        <v>0.6279898218829516</v>
      </c>
    </row>
    <row r="21" spans="1:9" x14ac:dyDescent="0.2">
      <c r="A21" s="15" t="s">
        <v>61</v>
      </c>
      <c r="B21" s="15" t="s">
        <v>19</v>
      </c>
      <c r="C21" s="15" t="s">
        <v>40</v>
      </c>
      <c r="D21" s="3">
        <v>8077</v>
      </c>
      <c r="E21" s="4">
        <v>229.6</v>
      </c>
      <c r="F21" s="3">
        <v>5220</v>
      </c>
      <c r="G21" s="3">
        <v>6796</v>
      </c>
      <c r="H21" s="3">
        <v>15264</v>
      </c>
      <c r="I21" s="6">
        <v>0.84140151046180511</v>
      </c>
    </row>
    <row r="22" spans="1:9" x14ac:dyDescent="0.2">
      <c r="A22" s="16" t="s">
        <v>61</v>
      </c>
      <c r="B22" s="16" t="s">
        <v>22</v>
      </c>
      <c r="C22" s="16" t="s">
        <v>41</v>
      </c>
      <c r="D22" s="8">
        <v>8604</v>
      </c>
      <c r="E22" s="9">
        <v>237.8</v>
      </c>
      <c r="F22" s="8">
        <v>5952</v>
      </c>
      <c r="G22" s="8">
        <v>7308</v>
      </c>
      <c r="H22" s="8">
        <v>14956</v>
      </c>
      <c r="I22" s="11">
        <v>0.84937238493723854</v>
      </c>
    </row>
    <row r="23" spans="1:9" x14ac:dyDescent="0.2">
      <c r="A23" s="15" t="s">
        <v>61</v>
      </c>
      <c r="B23" s="15" t="s">
        <v>24</v>
      </c>
      <c r="C23" s="15" t="s">
        <v>42</v>
      </c>
      <c r="D23" s="3">
        <v>8796</v>
      </c>
      <c r="E23" s="4">
        <v>243.9</v>
      </c>
      <c r="F23" s="3">
        <v>6708</v>
      </c>
      <c r="G23" s="3">
        <v>7664</v>
      </c>
      <c r="H23" s="3">
        <v>14880</v>
      </c>
      <c r="I23" s="6">
        <v>0.87130513869940884</v>
      </c>
    </row>
    <row r="24" spans="1:9" x14ac:dyDescent="0.2">
      <c r="A24" s="16" t="s">
        <v>61</v>
      </c>
      <c r="B24" s="16" t="s">
        <v>26</v>
      </c>
      <c r="C24" s="16" t="s">
        <v>43</v>
      </c>
      <c r="D24" s="8">
        <v>9738</v>
      </c>
      <c r="E24" s="9">
        <v>265.60000000000002</v>
      </c>
      <c r="F24" s="8">
        <v>3752</v>
      </c>
      <c r="G24" s="8">
        <v>5984</v>
      </c>
      <c r="H24" s="8">
        <v>20596</v>
      </c>
      <c r="I24" s="11">
        <v>0.61449989730950916</v>
      </c>
    </row>
    <row r="25" spans="1:9" x14ac:dyDescent="0.2">
      <c r="A25" s="15" t="s">
        <v>62</v>
      </c>
      <c r="B25" s="15" t="s">
        <v>19</v>
      </c>
      <c r="C25" s="15" t="s">
        <v>44</v>
      </c>
      <c r="D25" s="3">
        <v>10616</v>
      </c>
      <c r="E25" s="4">
        <v>281.39999999999998</v>
      </c>
      <c r="F25" s="3">
        <v>9328</v>
      </c>
      <c r="G25" s="3">
        <v>10532</v>
      </c>
      <c r="H25" s="3">
        <v>17712</v>
      </c>
      <c r="I25" s="6">
        <v>0.99208741522230592</v>
      </c>
    </row>
    <row r="26" spans="1:9" x14ac:dyDescent="0.2">
      <c r="A26" s="16" t="s">
        <v>62</v>
      </c>
      <c r="B26" s="16" t="s">
        <v>22</v>
      </c>
      <c r="C26" s="16" t="s">
        <v>45</v>
      </c>
      <c r="D26" s="8">
        <v>10958</v>
      </c>
      <c r="E26" s="9">
        <v>290.7</v>
      </c>
      <c r="F26" s="8">
        <v>8588</v>
      </c>
      <c r="G26" s="8">
        <v>10412</v>
      </c>
      <c r="H26" s="8">
        <v>18020</v>
      </c>
      <c r="I26" s="11">
        <v>0.95017338930461759</v>
      </c>
    </row>
    <row r="27" spans="1:9" x14ac:dyDescent="0.2">
      <c r="A27" s="49" t="s">
        <v>62</v>
      </c>
      <c r="B27" s="49" t="s">
        <v>24</v>
      </c>
      <c r="C27" s="49" t="s">
        <v>46</v>
      </c>
      <c r="D27" s="50">
        <v>11551</v>
      </c>
      <c r="E27" s="51">
        <v>302.7</v>
      </c>
      <c r="F27" s="50">
        <v>9456</v>
      </c>
      <c r="G27" s="50">
        <v>11636</v>
      </c>
      <c r="H27" s="50">
        <v>18456</v>
      </c>
      <c r="I27" s="52">
        <v>1.0073586702449999</v>
      </c>
    </row>
    <row r="28" spans="1:9" x14ac:dyDescent="0.2">
      <c r="A28" s="53" t="s">
        <v>62</v>
      </c>
      <c r="B28" s="53" t="s">
        <v>26</v>
      </c>
      <c r="C28" s="53" t="s">
        <v>47</v>
      </c>
      <c r="D28" s="54">
        <v>12303</v>
      </c>
      <c r="E28" s="55">
        <v>323.89999999999998</v>
      </c>
      <c r="F28" s="54">
        <v>7476</v>
      </c>
      <c r="G28" s="54">
        <v>9096</v>
      </c>
      <c r="H28" s="54">
        <v>19940</v>
      </c>
      <c r="I28" s="56">
        <v>0.73933187027554259</v>
      </c>
    </row>
    <row r="29" spans="1:9" x14ac:dyDescent="0.2">
      <c r="A29" s="43"/>
      <c r="B29" s="43"/>
      <c r="C29" s="43"/>
      <c r="D29" s="43"/>
      <c r="E29" s="43"/>
      <c r="F29" s="43"/>
      <c r="G29" s="43"/>
      <c r="H29" s="43"/>
      <c r="I29" s="43"/>
    </row>
    <row r="30" spans="1:9" x14ac:dyDescent="0.2">
      <c r="A30" s="44"/>
      <c r="B30" s="45"/>
      <c r="C30" s="46"/>
      <c r="D30" s="45"/>
      <c r="E30" s="45"/>
      <c r="F30" s="45"/>
      <c r="G30" s="47"/>
      <c r="H30" s="48"/>
      <c r="I30" s="47"/>
    </row>
    <row r="31" spans="1:9" x14ac:dyDescent="0.2">
      <c r="A31" s="44"/>
      <c r="B31" s="45"/>
      <c r="C31" s="46"/>
      <c r="D31" s="45"/>
      <c r="E31" s="45"/>
      <c r="F31" s="45"/>
      <c r="G31" s="47"/>
      <c r="H31" s="47"/>
      <c r="I31" s="47"/>
    </row>
    <row r="32" spans="1:9" x14ac:dyDescent="0.2">
      <c r="A32" s="44"/>
      <c r="B32" s="45"/>
      <c r="C32" s="46"/>
      <c r="D32" s="45"/>
      <c r="E32" s="45"/>
      <c r="F32" s="45"/>
      <c r="G32" s="47"/>
      <c r="H32" s="47"/>
      <c r="I32" s="47"/>
    </row>
    <row r="33" spans="1:9" x14ac:dyDescent="0.2">
      <c r="A33" s="44"/>
      <c r="B33" s="45"/>
      <c r="C33" s="46"/>
      <c r="D33" s="45"/>
      <c r="E33" s="45"/>
      <c r="F33" s="45"/>
      <c r="G33" s="47"/>
      <c r="H33" s="47"/>
      <c r="I33" s="47"/>
    </row>
    <row r="34" spans="1:9" x14ac:dyDescent="0.2">
      <c r="A34" s="44"/>
      <c r="B34" s="45"/>
      <c r="C34" s="46"/>
      <c r="D34" s="45"/>
      <c r="E34" s="45"/>
      <c r="F34" s="45"/>
      <c r="G34" s="47"/>
      <c r="H34" s="47"/>
      <c r="I34" s="47"/>
    </row>
    <row r="35" spans="1:9" x14ac:dyDescent="0.2">
      <c r="A35" s="44"/>
      <c r="B35" s="45"/>
      <c r="C35" s="46"/>
      <c r="D35" s="45"/>
      <c r="E35" s="45"/>
      <c r="F35" s="45"/>
      <c r="G35" s="47"/>
      <c r="H35" s="47"/>
      <c r="I35" s="47"/>
    </row>
  </sheetData>
  <mergeCells count="1">
    <mergeCell ref="A1:Q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24D0-4C20-45F0-A784-4FCD9299C797}">
  <sheetPr>
    <tabColor theme="3"/>
  </sheetPr>
  <dimension ref="A1:Q47"/>
  <sheetViews>
    <sheetView showGridLines="0" topLeftCell="A29" workbookViewId="0">
      <selection activeCell="D31" sqref="D31"/>
    </sheetView>
  </sheetViews>
  <sheetFormatPr baseColWidth="10" defaultColWidth="8.83203125" defaultRowHeight="15" x14ac:dyDescent="0.2"/>
  <cols>
    <col min="1" max="1" width="12" bestFit="1" customWidth="1"/>
    <col min="2" max="2" width="18.83203125" bestFit="1" customWidth="1"/>
    <col min="3" max="3" width="11.6640625" bestFit="1" customWidth="1"/>
    <col min="4" max="4" width="12" bestFit="1" customWidth="1"/>
    <col min="5" max="5" width="12.5" bestFit="1" customWidth="1"/>
    <col min="6" max="6" width="14.6640625" bestFit="1" customWidth="1"/>
    <col min="7" max="7" width="14.1640625" bestFit="1" customWidth="1"/>
    <col min="8" max="8" width="10.1640625" bestFit="1" customWidth="1"/>
    <col min="9" max="9" width="16.83203125" bestFit="1" customWidth="1"/>
    <col min="10" max="10" width="23.33203125" customWidth="1"/>
    <col min="11" max="11" width="24" customWidth="1"/>
    <col min="12" max="12" width="19.83203125" customWidth="1"/>
    <col min="13" max="13" width="20.6640625" customWidth="1"/>
    <col min="14" max="14" width="22.33203125" customWidth="1"/>
    <col min="15" max="15" width="18.1640625" customWidth="1"/>
    <col min="16" max="16" width="17.1640625" customWidth="1"/>
    <col min="17" max="17" width="15" customWidth="1"/>
  </cols>
  <sheetData>
    <row r="1" spans="1:17" x14ac:dyDescent="0.2">
      <c r="A1" s="78" t="s">
        <v>96</v>
      </c>
      <c r="B1" s="78"/>
      <c r="C1" s="78"/>
      <c r="D1" s="78"/>
      <c r="E1" s="78"/>
      <c r="F1" s="78"/>
      <c r="G1" s="78"/>
      <c r="H1" s="78"/>
      <c r="I1" s="78"/>
      <c r="J1" s="78"/>
      <c r="K1" s="78"/>
      <c r="L1" s="78"/>
      <c r="M1" s="78"/>
      <c r="N1" s="78"/>
      <c r="O1" s="36"/>
      <c r="P1" s="36"/>
      <c r="Q1" s="36"/>
    </row>
    <row r="2" spans="1:17" x14ac:dyDescent="0.2">
      <c r="A2" s="78"/>
      <c r="B2" s="78"/>
      <c r="C2" s="78"/>
      <c r="D2" s="78"/>
      <c r="E2" s="78"/>
      <c r="F2" s="78"/>
      <c r="G2" s="78"/>
      <c r="H2" s="78"/>
      <c r="I2" s="78"/>
      <c r="J2" s="78"/>
      <c r="K2" s="78"/>
      <c r="L2" s="78"/>
      <c r="M2" s="78"/>
      <c r="N2" s="78"/>
      <c r="O2" s="36"/>
      <c r="P2" s="36"/>
      <c r="Q2" s="36"/>
    </row>
    <row r="4" spans="1:17" x14ac:dyDescent="0.2">
      <c r="A4" s="20" t="s">
        <v>2</v>
      </c>
      <c r="B4" s="20" t="s">
        <v>3</v>
      </c>
      <c r="C4" s="20" t="s">
        <v>4</v>
      </c>
      <c r="D4" s="20" t="s">
        <v>5</v>
      </c>
      <c r="E4" s="20" t="s">
        <v>6</v>
      </c>
      <c r="F4" s="20" t="s">
        <v>7</v>
      </c>
      <c r="G4" s="20" t="s">
        <v>8</v>
      </c>
      <c r="H4" s="20" t="s">
        <v>9</v>
      </c>
      <c r="I4" s="20" t="s">
        <v>10</v>
      </c>
      <c r="J4" s="20" t="s">
        <v>11</v>
      </c>
      <c r="K4" s="20" t="s">
        <v>12</v>
      </c>
      <c r="L4" s="20" t="s">
        <v>13</v>
      </c>
      <c r="M4" s="20" t="s">
        <v>14</v>
      </c>
      <c r="N4" s="20" t="s">
        <v>15</v>
      </c>
      <c r="O4" s="20" t="s">
        <v>16</v>
      </c>
      <c r="P4" s="20" t="s">
        <v>17</v>
      </c>
      <c r="Q4" s="20" t="s">
        <v>18</v>
      </c>
    </row>
    <row r="5" spans="1:17" x14ac:dyDescent="0.2">
      <c r="A5" s="20">
        <v>2019</v>
      </c>
      <c r="B5" s="20" t="s">
        <v>19</v>
      </c>
      <c r="C5" s="20" t="s">
        <v>20</v>
      </c>
      <c r="D5" s="20">
        <v>4099</v>
      </c>
      <c r="E5" s="20">
        <v>132.69999999999999</v>
      </c>
      <c r="F5" s="20">
        <v>1376</v>
      </c>
      <c r="G5" s="20">
        <v>1836</v>
      </c>
      <c r="H5" s="20">
        <v>9656</v>
      </c>
      <c r="I5" s="25">
        <v>0.44800000000000001</v>
      </c>
      <c r="J5" s="20">
        <v>20157</v>
      </c>
      <c r="K5" s="20">
        <v>167.1</v>
      </c>
      <c r="L5" s="20">
        <v>1867</v>
      </c>
      <c r="M5" s="20">
        <v>2604</v>
      </c>
      <c r="N5" s="20">
        <v>13916</v>
      </c>
      <c r="O5" s="25">
        <v>0.129</v>
      </c>
      <c r="P5" s="20" t="s">
        <v>21</v>
      </c>
      <c r="Q5" s="25">
        <v>9.2999999999999999E-2</v>
      </c>
    </row>
    <row r="6" spans="1:17" x14ac:dyDescent="0.2">
      <c r="A6" s="20">
        <v>2019</v>
      </c>
      <c r="B6" s="20" t="s">
        <v>22</v>
      </c>
      <c r="C6" s="20" t="s">
        <v>23</v>
      </c>
      <c r="D6" s="20">
        <v>4387</v>
      </c>
      <c r="E6" s="20">
        <v>134.9</v>
      </c>
      <c r="F6" s="20">
        <v>1080</v>
      </c>
      <c r="G6" s="20">
        <v>2824</v>
      </c>
      <c r="H6" s="20">
        <v>9892</v>
      </c>
      <c r="I6" s="25">
        <v>0.64400000000000002</v>
      </c>
      <c r="J6" s="20">
        <v>20157</v>
      </c>
      <c r="K6" s="20">
        <v>167.1</v>
      </c>
      <c r="L6" s="20">
        <v>1867</v>
      </c>
      <c r="M6" s="20">
        <v>2604</v>
      </c>
      <c r="N6" s="20">
        <v>13916</v>
      </c>
      <c r="O6" s="25">
        <v>0.129</v>
      </c>
      <c r="P6" s="20" t="s">
        <v>21</v>
      </c>
      <c r="Q6" s="25">
        <v>9.2999999999999999E-2</v>
      </c>
    </row>
    <row r="7" spans="1:17" x14ac:dyDescent="0.2">
      <c r="A7" s="20">
        <v>2019</v>
      </c>
      <c r="B7" s="20" t="s">
        <v>24</v>
      </c>
      <c r="C7" s="20" t="s">
        <v>25</v>
      </c>
      <c r="D7" s="20">
        <v>4669</v>
      </c>
      <c r="E7" s="20">
        <v>138.30000000000001</v>
      </c>
      <c r="F7" s="20">
        <v>2660</v>
      </c>
      <c r="G7" s="20">
        <v>3920</v>
      </c>
      <c r="H7" s="20">
        <v>10268</v>
      </c>
      <c r="I7" s="25">
        <v>0.84</v>
      </c>
      <c r="J7" s="20">
        <v>20157</v>
      </c>
      <c r="K7" s="20">
        <v>167.1</v>
      </c>
      <c r="L7" s="20">
        <v>1867</v>
      </c>
      <c r="M7" s="20">
        <v>2604</v>
      </c>
      <c r="N7" s="20">
        <v>13916</v>
      </c>
      <c r="O7" s="25">
        <v>0.129</v>
      </c>
      <c r="P7" s="20" t="s">
        <v>21</v>
      </c>
      <c r="Q7" s="25">
        <v>9.2999999999999999E-2</v>
      </c>
    </row>
    <row r="8" spans="1:17" x14ac:dyDescent="0.2">
      <c r="A8" s="20">
        <v>2019</v>
      </c>
      <c r="B8" s="20" t="s">
        <v>26</v>
      </c>
      <c r="C8" s="20" t="s">
        <v>27</v>
      </c>
      <c r="D8" s="20">
        <v>4968</v>
      </c>
      <c r="E8" s="20">
        <v>145.6</v>
      </c>
      <c r="F8" s="20">
        <v>2348</v>
      </c>
      <c r="G8" s="20">
        <v>5416</v>
      </c>
      <c r="H8" s="20">
        <v>11572</v>
      </c>
      <c r="I8" s="25">
        <v>1.0900000000000001</v>
      </c>
      <c r="J8" s="20">
        <v>20157</v>
      </c>
      <c r="K8" s="20">
        <v>167.1</v>
      </c>
      <c r="L8" s="20">
        <v>1867</v>
      </c>
      <c r="M8" s="20">
        <v>2604</v>
      </c>
      <c r="N8" s="20">
        <v>13916</v>
      </c>
      <c r="O8" s="25">
        <v>0.129</v>
      </c>
      <c r="P8" s="20" t="s">
        <v>21</v>
      </c>
      <c r="Q8" s="25">
        <v>9.2999999999999999E-2</v>
      </c>
    </row>
    <row r="9" spans="1:17" x14ac:dyDescent="0.2">
      <c r="A9" s="20">
        <v>2020</v>
      </c>
      <c r="B9" s="20" t="s">
        <v>19</v>
      </c>
      <c r="C9" s="20" t="s">
        <v>28</v>
      </c>
      <c r="D9" s="20">
        <v>5296</v>
      </c>
      <c r="E9" s="20">
        <v>153.19999999999999</v>
      </c>
      <c r="F9" s="20">
        <v>2836</v>
      </c>
      <c r="G9" s="20">
        <v>3832</v>
      </c>
      <c r="H9" s="20">
        <v>11096</v>
      </c>
      <c r="I9" s="25">
        <v>0.72399999999999998</v>
      </c>
      <c r="J9" s="20">
        <v>24996</v>
      </c>
      <c r="K9" s="20">
        <v>203.7</v>
      </c>
      <c r="L9" s="20">
        <v>2761</v>
      </c>
      <c r="M9" s="20">
        <v>4585</v>
      </c>
      <c r="N9" s="20">
        <v>17332</v>
      </c>
      <c r="O9" s="25">
        <v>0.183</v>
      </c>
      <c r="P9" s="25">
        <v>0.24</v>
      </c>
      <c r="Q9" s="25">
        <v>0.11</v>
      </c>
    </row>
    <row r="10" spans="1:17" x14ac:dyDescent="0.2">
      <c r="A10" s="20">
        <v>2020</v>
      </c>
      <c r="B10" s="20" t="s">
        <v>22</v>
      </c>
      <c r="C10" s="20" t="s">
        <v>29</v>
      </c>
      <c r="D10" s="20">
        <v>5699</v>
      </c>
      <c r="E10" s="20">
        <v>164.7</v>
      </c>
      <c r="F10" s="20">
        <v>4588</v>
      </c>
      <c r="G10" s="20">
        <v>5432</v>
      </c>
      <c r="H10" s="20">
        <v>11728</v>
      </c>
      <c r="I10" s="25">
        <v>0.95299999999999996</v>
      </c>
      <c r="J10" s="20">
        <v>24996</v>
      </c>
      <c r="K10" s="20">
        <v>203.7</v>
      </c>
      <c r="L10" s="20">
        <v>2761</v>
      </c>
      <c r="M10" s="20">
        <v>4585</v>
      </c>
      <c r="N10" s="20">
        <v>17332</v>
      </c>
      <c r="O10" s="25">
        <v>0.183</v>
      </c>
      <c r="P10" s="25">
        <v>0.24</v>
      </c>
      <c r="Q10" s="25">
        <v>0.11</v>
      </c>
    </row>
    <row r="11" spans="1:17" x14ac:dyDescent="0.2">
      <c r="A11" s="20">
        <v>2020</v>
      </c>
      <c r="B11" s="20" t="s">
        <v>24</v>
      </c>
      <c r="C11" s="20" t="s">
        <v>30</v>
      </c>
      <c r="D11" s="20">
        <v>6051</v>
      </c>
      <c r="E11" s="20">
        <v>168.2</v>
      </c>
      <c r="F11" s="20">
        <v>3160</v>
      </c>
      <c r="G11" s="20">
        <v>5260</v>
      </c>
      <c r="H11" s="20">
        <v>12416</v>
      </c>
      <c r="I11" s="25">
        <v>0.86899999999999999</v>
      </c>
      <c r="J11" s="20">
        <v>24996</v>
      </c>
      <c r="K11" s="20">
        <v>203.7</v>
      </c>
      <c r="L11" s="20">
        <v>2761</v>
      </c>
      <c r="M11" s="20">
        <v>4585</v>
      </c>
      <c r="N11" s="20">
        <v>17332</v>
      </c>
      <c r="O11" s="25">
        <v>0.183</v>
      </c>
      <c r="P11" s="25">
        <v>0.24</v>
      </c>
      <c r="Q11" s="25">
        <v>0.11</v>
      </c>
    </row>
    <row r="12" spans="1:17" x14ac:dyDescent="0.2">
      <c r="A12" s="20">
        <v>2020</v>
      </c>
      <c r="B12" s="20" t="s">
        <v>26</v>
      </c>
      <c r="C12" s="20" t="s">
        <v>31</v>
      </c>
      <c r="D12" s="20">
        <v>6389</v>
      </c>
      <c r="E12" s="20">
        <v>178.2</v>
      </c>
      <c r="F12" s="20">
        <v>5796</v>
      </c>
      <c r="G12" s="20">
        <v>5968</v>
      </c>
      <c r="H12" s="20">
        <v>13632</v>
      </c>
      <c r="I12" s="25">
        <v>0.93400000000000005</v>
      </c>
      <c r="J12" s="20">
        <v>24996</v>
      </c>
      <c r="K12" s="20">
        <v>203.7</v>
      </c>
      <c r="L12" s="20">
        <v>2761</v>
      </c>
      <c r="M12" s="20">
        <v>4585</v>
      </c>
      <c r="N12" s="20">
        <v>17332</v>
      </c>
      <c r="O12" s="25">
        <v>0.183</v>
      </c>
      <c r="P12" s="25">
        <v>0.24</v>
      </c>
      <c r="Q12" s="25">
        <v>0.11</v>
      </c>
    </row>
    <row r="13" spans="1:17" x14ac:dyDescent="0.2">
      <c r="A13" s="20">
        <v>2021</v>
      </c>
      <c r="B13" s="20" t="s">
        <v>19</v>
      </c>
      <c r="C13" s="20" t="s">
        <v>32</v>
      </c>
      <c r="D13" s="20">
        <v>6681</v>
      </c>
      <c r="E13" s="20">
        <v>193.5</v>
      </c>
      <c r="F13" s="20">
        <v>6828</v>
      </c>
      <c r="G13" s="20">
        <v>7840</v>
      </c>
      <c r="H13" s="20">
        <v>14068</v>
      </c>
      <c r="I13" s="25">
        <v>1.173</v>
      </c>
      <c r="J13" s="20">
        <v>29698</v>
      </c>
      <c r="K13" s="20">
        <v>221.8</v>
      </c>
      <c r="L13" s="20">
        <v>5116</v>
      </c>
      <c r="M13" s="20">
        <v>6195</v>
      </c>
      <c r="N13" s="20">
        <v>17702</v>
      </c>
      <c r="O13" s="25">
        <v>0.20899999999999999</v>
      </c>
      <c r="P13" s="25">
        <v>0.188</v>
      </c>
      <c r="Q13" s="25">
        <v>0.17199999999999999</v>
      </c>
    </row>
    <row r="14" spans="1:17" x14ac:dyDescent="0.2">
      <c r="A14" s="20">
        <v>2021</v>
      </c>
      <c r="B14" s="20" t="s">
        <v>22</v>
      </c>
      <c r="C14" s="20" t="s">
        <v>33</v>
      </c>
      <c r="D14" s="20">
        <v>7058</v>
      </c>
      <c r="E14" s="20">
        <v>206.1</v>
      </c>
      <c r="F14" s="20">
        <v>5412</v>
      </c>
      <c r="G14" s="20">
        <v>7916</v>
      </c>
      <c r="H14" s="20">
        <v>14088</v>
      </c>
      <c r="I14" s="25">
        <v>1.1220000000000001</v>
      </c>
      <c r="J14" s="20">
        <v>29698</v>
      </c>
      <c r="K14" s="20">
        <v>221.8</v>
      </c>
      <c r="L14" s="20">
        <v>5116</v>
      </c>
      <c r="M14" s="20">
        <v>6195</v>
      </c>
      <c r="N14" s="20">
        <v>17702</v>
      </c>
      <c r="O14" s="25">
        <v>0.20899999999999999</v>
      </c>
      <c r="P14" s="25">
        <v>0.188</v>
      </c>
      <c r="Q14" s="25">
        <v>0.17199999999999999</v>
      </c>
    </row>
    <row r="15" spans="1:17" x14ac:dyDescent="0.2">
      <c r="A15" s="20">
        <v>2021</v>
      </c>
      <c r="B15" s="20" t="s">
        <v>24</v>
      </c>
      <c r="C15" s="20" t="s">
        <v>34</v>
      </c>
      <c r="D15" s="20">
        <v>7367</v>
      </c>
      <c r="E15" s="20">
        <v>213.6</v>
      </c>
      <c r="F15" s="20">
        <v>5796</v>
      </c>
      <c r="G15" s="20">
        <v>7024</v>
      </c>
      <c r="H15" s="20">
        <v>14508</v>
      </c>
      <c r="I15" s="25">
        <v>0.95299999999999996</v>
      </c>
      <c r="J15" s="20">
        <v>29698</v>
      </c>
      <c r="K15" s="20">
        <v>221.8</v>
      </c>
      <c r="L15" s="20">
        <v>5116</v>
      </c>
      <c r="M15" s="20">
        <v>6195</v>
      </c>
      <c r="N15" s="20">
        <v>17702</v>
      </c>
      <c r="O15" s="25">
        <v>0.20899999999999999</v>
      </c>
      <c r="P15" s="25">
        <v>0.188</v>
      </c>
      <c r="Q15" s="25">
        <v>0.17199999999999999</v>
      </c>
    </row>
    <row r="16" spans="1:17" x14ac:dyDescent="0.2">
      <c r="A16" s="20">
        <v>2021</v>
      </c>
      <c r="B16" s="20" t="s">
        <v>26</v>
      </c>
      <c r="C16" s="20" t="s">
        <v>35</v>
      </c>
      <c r="D16" s="20">
        <v>7770</v>
      </c>
      <c r="E16" s="20">
        <v>215.3</v>
      </c>
      <c r="F16" s="20">
        <v>2428</v>
      </c>
      <c r="G16" s="20">
        <v>5776</v>
      </c>
      <c r="H16" s="20">
        <v>16132</v>
      </c>
      <c r="I16" s="25">
        <v>0.74299999999999999</v>
      </c>
      <c r="J16" s="20">
        <v>29698</v>
      </c>
      <c r="K16" s="20">
        <v>221.8</v>
      </c>
      <c r="L16" s="20">
        <v>5116</v>
      </c>
      <c r="M16" s="20">
        <v>6195</v>
      </c>
      <c r="N16" s="20">
        <v>17702</v>
      </c>
      <c r="O16" s="25">
        <v>0.20899999999999999</v>
      </c>
      <c r="P16" s="25">
        <v>0.188</v>
      </c>
      <c r="Q16" s="25">
        <v>0.17199999999999999</v>
      </c>
    </row>
    <row r="17" spans="1:17" x14ac:dyDescent="0.2">
      <c r="A17" s="20">
        <v>2022</v>
      </c>
      <c r="B17" s="20" t="s">
        <v>19</v>
      </c>
      <c r="C17" s="20" t="s">
        <v>36</v>
      </c>
      <c r="D17" s="20">
        <v>8166</v>
      </c>
      <c r="E17" s="20">
        <v>215.9</v>
      </c>
      <c r="F17" s="20">
        <v>6388</v>
      </c>
      <c r="G17" s="20">
        <v>5480</v>
      </c>
      <c r="H17" s="20">
        <v>17132</v>
      </c>
      <c r="I17" s="25">
        <v>0.67100000000000004</v>
      </c>
      <c r="J17" s="20">
        <v>31616</v>
      </c>
      <c r="K17" s="20">
        <v>220.7</v>
      </c>
      <c r="L17" s="20">
        <v>1625</v>
      </c>
      <c r="M17" s="20">
        <v>5633</v>
      </c>
      <c r="N17" s="20">
        <v>17126</v>
      </c>
      <c r="O17" s="25">
        <v>0.17799999999999999</v>
      </c>
      <c r="P17" s="25">
        <v>6.4000000000000001E-2</v>
      </c>
      <c r="Q17" s="25">
        <v>5.0999999999999997E-2</v>
      </c>
    </row>
    <row r="18" spans="1:17" x14ac:dyDescent="0.2">
      <c r="A18" s="20">
        <v>2022</v>
      </c>
      <c r="B18" s="20" t="s">
        <v>22</v>
      </c>
      <c r="C18" s="20" t="s">
        <v>37</v>
      </c>
      <c r="D18" s="20">
        <v>7691</v>
      </c>
      <c r="E18" s="20">
        <v>215.1</v>
      </c>
      <c r="F18" s="20">
        <v>-3880</v>
      </c>
      <c r="G18" s="20">
        <v>3896</v>
      </c>
      <c r="H18" s="20">
        <v>16752</v>
      </c>
      <c r="I18" s="25">
        <v>0.50700000000000001</v>
      </c>
      <c r="J18" s="20">
        <v>31616</v>
      </c>
      <c r="K18" s="20">
        <v>220.7</v>
      </c>
      <c r="L18" s="20">
        <v>1625</v>
      </c>
      <c r="M18" s="20">
        <v>5633</v>
      </c>
      <c r="N18" s="20">
        <v>17126</v>
      </c>
      <c r="O18" s="25">
        <v>0.17799999999999999</v>
      </c>
      <c r="P18" s="25">
        <v>6.4000000000000001E-2</v>
      </c>
      <c r="Q18" s="25">
        <v>5.0999999999999997E-2</v>
      </c>
    </row>
    <row r="19" spans="1:17" x14ac:dyDescent="0.2">
      <c r="A19" s="20">
        <v>2022</v>
      </c>
      <c r="B19" s="20" t="s">
        <v>24</v>
      </c>
      <c r="C19" s="20" t="s">
        <v>38</v>
      </c>
      <c r="D19" s="20">
        <v>7620</v>
      </c>
      <c r="E19" s="20">
        <v>218.2</v>
      </c>
      <c r="F19" s="20">
        <v>2228</v>
      </c>
      <c r="G19" s="20">
        <v>6136</v>
      </c>
      <c r="H19" s="20">
        <v>15500</v>
      </c>
      <c r="I19" s="25">
        <v>0.80500000000000005</v>
      </c>
      <c r="J19" s="20">
        <v>31616</v>
      </c>
      <c r="K19" s="20">
        <v>220.7</v>
      </c>
      <c r="L19" s="20">
        <v>1625</v>
      </c>
      <c r="M19" s="20">
        <v>5633</v>
      </c>
      <c r="N19" s="20">
        <v>17126</v>
      </c>
      <c r="O19" s="25">
        <v>0.17799999999999999</v>
      </c>
      <c r="P19" s="25">
        <v>6.4000000000000001E-2</v>
      </c>
      <c r="Q19" s="25">
        <v>5.0999999999999997E-2</v>
      </c>
    </row>
    <row r="20" spans="1:17" x14ac:dyDescent="0.2">
      <c r="A20" s="20">
        <v>2022</v>
      </c>
      <c r="B20" s="20" t="s">
        <v>26</v>
      </c>
      <c r="C20" s="20" t="s">
        <v>39</v>
      </c>
      <c r="D20" s="20">
        <v>7860</v>
      </c>
      <c r="E20" s="20">
        <v>224.5</v>
      </c>
      <c r="F20" s="20">
        <v>-2236</v>
      </c>
      <c r="G20" s="20">
        <v>4936</v>
      </c>
      <c r="H20" s="20">
        <v>16676</v>
      </c>
      <c r="I20" s="25">
        <v>0.628</v>
      </c>
      <c r="J20" s="20">
        <v>31616</v>
      </c>
      <c r="K20" s="20">
        <v>220.7</v>
      </c>
      <c r="L20" s="20">
        <v>1625</v>
      </c>
      <c r="M20" s="20">
        <v>5633</v>
      </c>
      <c r="N20" s="20">
        <v>17126</v>
      </c>
      <c r="O20" s="25">
        <v>0.17799999999999999</v>
      </c>
      <c r="P20" s="25">
        <v>6.4000000000000001E-2</v>
      </c>
      <c r="Q20" s="25">
        <v>5.0999999999999997E-2</v>
      </c>
    </row>
    <row r="21" spans="1:17" x14ac:dyDescent="0.2">
      <c r="A21" s="20">
        <v>2023</v>
      </c>
      <c r="B21" s="20" t="s">
        <v>19</v>
      </c>
      <c r="C21" s="20" t="s">
        <v>40</v>
      </c>
      <c r="D21" s="20">
        <v>8077</v>
      </c>
      <c r="E21" s="20">
        <v>229.6</v>
      </c>
      <c r="F21" s="20">
        <v>5220</v>
      </c>
      <c r="G21" s="20">
        <v>6796</v>
      </c>
      <c r="H21" s="20">
        <v>15264</v>
      </c>
      <c r="I21" s="25">
        <v>0.84099999999999997</v>
      </c>
      <c r="J21" s="20">
        <v>33723</v>
      </c>
      <c r="K21" s="20">
        <v>260.3</v>
      </c>
      <c r="L21" s="20">
        <v>5408</v>
      </c>
      <c r="M21" s="20">
        <v>7006</v>
      </c>
      <c r="N21" s="20">
        <v>19132</v>
      </c>
      <c r="O21" s="25">
        <v>0.20799999999999999</v>
      </c>
      <c r="P21" s="25">
        <v>6.7000000000000004E-2</v>
      </c>
      <c r="Q21" s="25">
        <v>0.16</v>
      </c>
    </row>
    <row r="22" spans="1:17" x14ac:dyDescent="0.2">
      <c r="A22" s="20">
        <v>2023</v>
      </c>
      <c r="B22" s="20" t="s">
        <v>22</v>
      </c>
      <c r="C22" s="20" t="s">
        <v>41</v>
      </c>
      <c r="D22" s="20">
        <v>8604</v>
      </c>
      <c r="E22" s="20">
        <v>237.8</v>
      </c>
      <c r="F22" s="20">
        <v>5952</v>
      </c>
      <c r="G22" s="20">
        <v>7308</v>
      </c>
      <c r="H22" s="20">
        <v>14956</v>
      </c>
      <c r="I22" s="25">
        <v>0.84899999999999998</v>
      </c>
      <c r="J22" s="20">
        <v>33723</v>
      </c>
      <c r="K22" s="20">
        <v>260.3</v>
      </c>
      <c r="L22" s="20">
        <v>5408</v>
      </c>
      <c r="M22" s="20">
        <v>7006</v>
      </c>
      <c r="N22" s="20">
        <v>19132</v>
      </c>
      <c r="O22" s="25">
        <v>0.20799999999999999</v>
      </c>
      <c r="P22" s="25">
        <v>6.7000000000000004E-2</v>
      </c>
      <c r="Q22" s="25">
        <v>0.16</v>
      </c>
    </row>
    <row r="23" spans="1:17" x14ac:dyDescent="0.2">
      <c r="A23" s="20">
        <v>2023</v>
      </c>
      <c r="B23" s="20" t="s">
        <v>24</v>
      </c>
      <c r="C23" s="20" t="s">
        <v>42</v>
      </c>
      <c r="D23" s="20">
        <v>8796</v>
      </c>
      <c r="E23" s="20">
        <v>243.9</v>
      </c>
      <c r="F23" s="20">
        <v>6708</v>
      </c>
      <c r="G23" s="20">
        <v>7664</v>
      </c>
      <c r="H23" s="20">
        <v>14880</v>
      </c>
      <c r="I23" s="25">
        <v>0.871</v>
      </c>
      <c r="J23" s="20">
        <v>33723</v>
      </c>
      <c r="K23" s="20">
        <v>260.3</v>
      </c>
      <c r="L23" s="20">
        <v>5408</v>
      </c>
      <c r="M23" s="20">
        <v>7006</v>
      </c>
      <c r="N23" s="20">
        <v>19132</v>
      </c>
      <c r="O23" s="25">
        <v>0.20799999999999999</v>
      </c>
      <c r="P23" s="25">
        <v>6.7000000000000004E-2</v>
      </c>
      <c r="Q23" s="25">
        <v>0.16</v>
      </c>
    </row>
    <row r="24" spans="1:17" x14ac:dyDescent="0.2">
      <c r="A24" s="20">
        <v>2023</v>
      </c>
      <c r="B24" s="20" t="s">
        <v>26</v>
      </c>
      <c r="C24" s="20" t="s">
        <v>43</v>
      </c>
      <c r="D24" s="20">
        <v>9738</v>
      </c>
      <c r="E24" s="20">
        <v>265.60000000000002</v>
      </c>
      <c r="F24" s="20">
        <v>3752</v>
      </c>
      <c r="G24" s="20">
        <v>5984</v>
      </c>
      <c r="H24" s="20">
        <v>20596</v>
      </c>
      <c r="I24" s="25">
        <v>0.61399999999999999</v>
      </c>
      <c r="J24" s="20">
        <v>33723</v>
      </c>
      <c r="K24" s="20">
        <v>260.3</v>
      </c>
      <c r="L24" s="20">
        <v>5408</v>
      </c>
      <c r="M24" s="20">
        <v>7006</v>
      </c>
      <c r="N24" s="20">
        <v>19132</v>
      </c>
      <c r="O24" s="25">
        <v>0.20799999999999999</v>
      </c>
      <c r="P24" s="25">
        <v>6.7000000000000004E-2</v>
      </c>
      <c r="Q24" s="25">
        <v>0.16</v>
      </c>
    </row>
    <row r="25" spans="1:17" x14ac:dyDescent="0.2">
      <c r="A25" s="20">
        <v>2024</v>
      </c>
      <c r="B25" s="20" t="s">
        <v>19</v>
      </c>
      <c r="C25" s="20" t="s">
        <v>44</v>
      </c>
      <c r="D25" s="20">
        <v>10616</v>
      </c>
      <c r="E25" s="20">
        <v>281.39999999999998</v>
      </c>
      <c r="F25" s="20">
        <v>9328</v>
      </c>
      <c r="G25" s="20">
        <v>10532</v>
      </c>
      <c r="H25" s="20">
        <v>17712</v>
      </c>
      <c r="I25" s="25">
        <v>0.99199999999999999</v>
      </c>
      <c r="J25" s="20">
        <v>38948</v>
      </c>
      <c r="K25" s="20">
        <v>301.60000000000002</v>
      </c>
      <c r="L25" s="20">
        <v>8884</v>
      </c>
      <c r="M25" s="20">
        <v>10419</v>
      </c>
      <c r="N25" s="20">
        <v>17980</v>
      </c>
      <c r="O25" s="25">
        <v>0.26700000000000002</v>
      </c>
      <c r="P25" s="25">
        <v>0.155</v>
      </c>
      <c r="Q25" s="25">
        <v>0.22800000000000001</v>
      </c>
    </row>
    <row r="26" spans="1:17" x14ac:dyDescent="0.2">
      <c r="A26" s="20">
        <v>2024</v>
      </c>
      <c r="B26" s="20" t="s">
        <v>22</v>
      </c>
      <c r="C26" s="20" t="s">
        <v>45</v>
      </c>
      <c r="D26" s="20">
        <v>10958</v>
      </c>
      <c r="E26" s="20">
        <v>290.7</v>
      </c>
      <c r="F26" s="20">
        <v>8588</v>
      </c>
      <c r="G26" s="20">
        <v>10412</v>
      </c>
      <c r="H26" s="20">
        <v>18020</v>
      </c>
      <c r="I26" s="25">
        <v>0.95</v>
      </c>
      <c r="J26" s="20">
        <v>38948</v>
      </c>
      <c r="K26" s="20">
        <v>301.60000000000002</v>
      </c>
      <c r="L26" s="20">
        <v>8884</v>
      </c>
      <c r="M26" s="20">
        <v>10419</v>
      </c>
      <c r="N26" s="20">
        <v>17980</v>
      </c>
      <c r="O26" s="25">
        <v>0.26700000000000002</v>
      </c>
      <c r="P26" s="25">
        <v>0.155</v>
      </c>
      <c r="Q26" s="25">
        <v>0.22800000000000001</v>
      </c>
    </row>
    <row r="27" spans="1:17" x14ac:dyDescent="0.2">
      <c r="A27" s="20">
        <v>2024</v>
      </c>
      <c r="B27" s="20" t="s">
        <v>24</v>
      </c>
      <c r="C27" s="20" t="s">
        <v>46</v>
      </c>
      <c r="D27" s="20">
        <v>11551</v>
      </c>
      <c r="E27" s="20">
        <v>302.7</v>
      </c>
      <c r="F27" s="20">
        <v>9456</v>
      </c>
      <c r="G27" s="20">
        <v>11636</v>
      </c>
      <c r="H27" s="20">
        <v>18456</v>
      </c>
      <c r="I27" s="25">
        <v>1.0069999999999999</v>
      </c>
      <c r="J27" s="20">
        <v>38948</v>
      </c>
      <c r="K27" s="20">
        <v>301.60000000000002</v>
      </c>
      <c r="L27" s="20">
        <v>8884</v>
      </c>
      <c r="M27" s="20">
        <v>10419</v>
      </c>
      <c r="N27" s="20">
        <v>17980</v>
      </c>
      <c r="O27" s="25">
        <v>0.26700000000000002</v>
      </c>
      <c r="P27" s="25">
        <v>0.155</v>
      </c>
      <c r="Q27" s="25">
        <v>0.22800000000000001</v>
      </c>
    </row>
    <row r="28" spans="1:17" x14ac:dyDescent="0.2">
      <c r="A28" s="20">
        <v>2024</v>
      </c>
      <c r="B28" s="20" t="s">
        <v>26</v>
      </c>
      <c r="C28" s="20" t="s">
        <v>47</v>
      </c>
      <c r="D28" s="20">
        <v>12303</v>
      </c>
      <c r="E28" s="20">
        <v>323.89999999999998</v>
      </c>
      <c r="F28" s="20">
        <v>7476</v>
      </c>
      <c r="G28" s="20">
        <v>9096</v>
      </c>
      <c r="H28" s="20">
        <v>19940</v>
      </c>
      <c r="I28" s="25">
        <v>0.73899999999999999</v>
      </c>
      <c r="J28" s="20">
        <v>38948</v>
      </c>
      <c r="K28" s="20">
        <v>301.60000000000002</v>
      </c>
      <c r="L28" s="20">
        <v>8884</v>
      </c>
      <c r="M28" s="20">
        <v>10419</v>
      </c>
      <c r="N28" s="20">
        <v>17980</v>
      </c>
      <c r="O28" s="25">
        <v>0.26700000000000002</v>
      </c>
      <c r="P28" s="25">
        <v>0.155</v>
      </c>
      <c r="Q28" s="25">
        <v>0.22800000000000001</v>
      </c>
    </row>
    <row r="31" spans="1:17" x14ac:dyDescent="0.2">
      <c r="A31" s="24" t="s">
        <v>48</v>
      </c>
      <c r="B31" t="s">
        <v>83</v>
      </c>
      <c r="C31" t="s">
        <v>84</v>
      </c>
      <c r="D31" t="s">
        <v>85</v>
      </c>
      <c r="E31" t="s">
        <v>97</v>
      </c>
      <c r="F31" s="24" t="s">
        <v>48</v>
      </c>
      <c r="G31" t="s">
        <v>86</v>
      </c>
      <c r="H31" t="s">
        <v>87</v>
      </c>
      <c r="I31" t="s">
        <v>88</v>
      </c>
    </row>
    <row r="32" spans="1:17" x14ac:dyDescent="0.2">
      <c r="A32" s="19">
        <v>2019</v>
      </c>
      <c r="B32" s="81">
        <v>551.5</v>
      </c>
      <c r="C32" s="35">
        <v>18123</v>
      </c>
      <c r="D32" s="35">
        <v>7464</v>
      </c>
      <c r="E32" s="71">
        <v>0.372</v>
      </c>
      <c r="F32" s="19">
        <v>2019</v>
      </c>
      <c r="G32" s="35">
        <v>13996</v>
      </c>
      <c r="H32" s="35">
        <v>41388</v>
      </c>
      <c r="I32" s="34">
        <v>0.75550000000000006</v>
      </c>
    </row>
    <row r="33" spans="1:9" x14ac:dyDescent="0.2">
      <c r="A33" s="19">
        <v>2020</v>
      </c>
      <c r="B33" s="81">
        <v>664.3</v>
      </c>
      <c r="C33" s="35">
        <v>23435</v>
      </c>
      <c r="D33" s="35">
        <v>16380</v>
      </c>
      <c r="E33" s="71">
        <v>0.44</v>
      </c>
      <c r="F33" s="19">
        <v>2020</v>
      </c>
      <c r="G33" s="35">
        <v>20492</v>
      </c>
      <c r="H33" s="35">
        <v>48872</v>
      </c>
      <c r="I33" s="34">
        <v>0.87000000000000011</v>
      </c>
    </row>
    <row r="34" spans="1:9" x14ac:dyDescent="0.2">
      <c r="A34" s="19">
        <v>2021</v>
      </c>
      <c r="B34" s="81">
        <v>828.5</v>
      </c>
      <c r="C34" s="35">
        <v>28876</v>
      </c>
      <c r="D34" s="35">
        <v>20464</v>
      </c>
      <c r="E34" s="71">
        <v>0.68799999999999994</v>
      </c>
      <c r="F34" s="19">
        <v>2021</v>
      </c>
      <c r="G34" s="35">
        <v>28556</v>
      </c>
      <c r="H34" s="35">
        <v>58796</v>
      </c>
      <c r="I34" s="34">
        <v>0.99774999999999991</v>
      </c>
    </row>
    <row r="35" spans="1:9" x14ac:dyDescent="0.2">
      <c r="A35" s="19">
        <v>2022</v>
      </c>
      <c r="B35" s="81">
        <v>873.7</v>
      </c>
      <c r="C35" s="35">
        <v>31337</v>
      </c>
      <c r="D35" s="35">
        <v>2500</v>
      </c>
      <c r="E35" s="71">
        <v>0.20399999999999999</v>
      </c>
      <c r="F35" s="19">
        <v>2022</v>
      </c>
      <c r="G35" s="35">
        <v>20448</v>
      </c>
      <c r="H35" s="35">
        <v>66060</v>
      </c>
      <c r="I35" s="34">
        <v>0.65275000000000005</v>
      </c>
    </row>
    <row r="36" spans="1:9" x14ac:dyDescent="0.2">
      <c r="A36" s="19">
        <v>2023</v>
      </c>
      <c r="B36" s="81">
        <v>976.9</v>
      </c>
      <c r="C36" s="35">
        <v>35215</v>
      </c>
      <c r="D36" s="35">
        <v>21632</v>
      </c>
      <c r="E36" s="71">
        <v>0.64</v>
      </c>
      <c r="F36" s="19">
        <v>2023</v>
      </c>
      <c r="G36" s="35">
        <v>27752</v>
      </c>
      <c r="H36" s="35">
        <v>65696</v>
      </c>
      <c r="I36" s="34">
        <v>0.79374999999999996</v>
      </c>
    </row>
    <row r="37" spans="1:9" x14ac:dyDescent="0.2">
      <c r="A37" s="19">
        <v>2024</v>
      </c>
      <c r="B37" s="81">
        <v>1198.6999999999998</v>
      </c>
      <c r="C37" s="35">
        <v>45428</v>
      </c>
      <c r="D37" s="35">
        <v>34848</v>
      </c>
      <c r="E37" s="71">
        <v>0.91200000000000003</v>
      </c>
      <c r="F37" s="19">
        <v>2024</v>
      </c>
      <c r="G37" s="35">
        <v>41676</v>
      </c>
      <c r="H37" s="35">
        <v>74128</v>
      </c>
      <c r="I37" s="34">
        <v>0.92199999999999993</v>
      </c>
    </row>
    <row r="38" spans="1:9" x14ac:dyDescent="0.2">
      <c r="A38" s="19" t="s">
        <v>50</v>
      </c>
      <c r="B38" s="81">
        <v>5093.6000000000004</v>
      </c>
      <c r="C38" s="35">
        <v>182414</v>
      </c>
      <c r="D38" s="35">
        <v>103288</v>
      </c>
      <c r="E38" s="71">
        <v>3.2559999999999998</v>
      </c>
      <c r="F38" s="19" t="s">
        <v>50</v>
      </c>
      <c r="G38" s="35">
        <v>152920</v>
      </c>
      <c r="H38" s="35">
        <v>354940</v>
      </c>
      <c r="I38" s="34">
        <v>0.83195833333333347</v>
      </c>
    </row>
    <row r="40" spans="1:9" x14ac:dyDescent="0.2">
      <c r="A40" s="24" t="s">
        <v>48</v>
      </c>
      <c r="B40" t="s">
        <v>51</v>
      </c>
      <c r="D40" s="24" t="s">
        <v>48</v>
      </c>
      <c r="E40" s="35" t="s">
        <v>84</v>
      </c>
      <c r="F40" t="s">
        <v>89</v>
      </c>
      <c r="G40" s="35" t="s">
        <v>90</v>
      </c>
      <c r="H40" s="35" t="s">
        <v>86</v>
      </c>
      <c r="I40" s="35" t="s">
        <v>91</v>
      </c>
    </row>
    <row r="41" spans="1:9" x14ac:dyDescent="0.2">
      <c r="A41" s="19">
        <v>2019</v>
      </c>
      <c r="B41" s="34">
        <v>0.75550000000000006</v>
      </c>
      <c r="D41" s="19">
        <v>2019</v>
      </c>
      <c r="E41" s="35">
        <v>80628</v>
      </c>
      <c r="F41" s="34">
        <v>668.4</v>
      </c>
      <c r="G41" s="35">
        <v>7468</v>
      </c>
      <c r="H41" s="35">
        <v>10416</v>
      </c>
      <c r="I41" s="35">
        <v>55664</v>
      </c>
    </row>
    <row r="42" spans="1:9" x14ac:dyDescent="0.2">
      <c r="A42" s="19">
        <v>2020</v>
      </c>
      <c r="B42" s="34">
        <v>0.87000000000000011</v>
      </c>
      <c r="D42" s="19">
        <v>2020</v>
      </c>
      <c r="E42" s="35">
        <v>99984</v>
      </c>
      <c r="F42" s="34">
        <v>814.8</v>
      </c>
      <c r="G42" s="35">
        <v>11044</v>
      </c>
      <c r="H42" s="35">
        <v>18340</v>
      </c>
      <c r="I42" s="35">
        <v>69328</v>
      </c>
    </row>
    <row r="43" spans="1:9" x14ac:dyDescent="0.2">
      <c r="A43" s="19">
        <v>2021</v>
      </c>
      <c r="B43" s="34">
        <v>0.99774999999999991</v>
      </c>
      <c r="D43" s="19">
        <v>2021</v>
      </c>
      <c r="E43" s="35">
        <v>118792</v>
      </c>
      <c r="F43" s="34">
        <v>887.2</v>
      </c>
      <c r="G43" s="35">
        <v>20464</v>
      </c>
      <c r="H43" s="35">
        <v>24780</v>
      </c>
      <c r="I43" s="35">
        <v>70808</v>
      </c>
    </row>
    <row r="44" spans="1:9" x14ac:dyDescent="0.2">
      <c r="A44" s="19">
        <v>2022</v>
      </c>
      <c r="B44" s="34">
        <v>0.65275000000000005</v>
      </c>
      <c r="D44" s="19">
        <v>2022</v>
      </c>
      <c r="E44" s="35">
        <v>126464</v>
      </c>
      <c r="F44" s="34">
        <v>882.8</v>
      </c>
      <c r="G44" s="35">
        <v>6500</v>
      </c>
      <c r="H44" s="35">
        <v>22532</v>
      </c>
      <c r="I44" s="35">
        <v>68504</v>
      </c>
    </row>
    <row r="45" spans="1:9" x14ac:dyDescent="0.2">
      <c r="A45" s="19">
        <v>2023</v>
      </c>
      <c r="B45" s="34">
        <v>0.79374999999999996</v>
      </c>
      <c r="D45" s="19">
        <v>2023</v>
      </c>
      <c r="E45" s="35">
        <v>134892</v>
      </c>
      <c r="F45" s="34">
        <v>1041.2</v>
      </c>
      <c r="G45" s="35">
        <v>21632</v>
      </c>
      <c r="H45" s="35">
        <v>28024</v>
      </c>
      <c r="I45" s="35">
        <v>76528</v>
      </c>
    </row>
    <row r="46" spans="1:9" x14ac:dyDescent="0.2">
      <c r="A46" s="19">
        <v>2024</v>
      </c>
      <c r="B46" s="34">
        <v>0.92199999999999993</v>
      </c>
      <c r="D46" s="19">
        <v>2024</v>
      </c>
      <c r="E46" s="35">
        <v>155792</v>
      </c>
      <c r="F46" s="34">
        <v>1206.4000000000001</v>
      </c>
      <c r="G46" s="35">
        <v>35536</v>
      </c>
      <c r="H46" s="35">
        <v>41676</v>
      </c>
      <c r="I46" s="35">
        <v>71920</v>
      </c>
    </row>
    <row r="47" spans="1:9" x14ac:dyDescent="0.2">
      <c r="A47" s="19" t="s">
        <v>50</v>
      </c>
      <c r="B47" s="34">
        <v>0.83195833333333347</v>
      </c>
      <c r="D47" s="19" t="s">
        <v>50</v>
      </c>
      <c r="E47" s="35">
        <v>716552</v>
      </c>
      <c r="F47" s="34">
        <v>5500.7999999999993</v>
      </c>
      <c r="G47" s="35">
        <v>102644</v>
      </c>
      <c r="H47" s="35">
        <v>145768</v>
      </c>
      <c r="I47" s="35">
        <v>412752</v>
      </c>
    </row>
  </sheetData>
  <mergeCells count="1">
    <mergeCell ref="A1:N2"/>
  </mergeCells>
  <pageMargins left="0.7" right="0.7" top="0.75" bottom="0.75" header="0.3" footer="0.3"/>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0914"/>
  </sheetPr>
  <dimension ref="A1:W100"/>
  <sheetViews>
    <sheetView showGridLines="0" zoomScale="109" workbookViewId="0">
      <pane ySplit="4" topLeftCell="A51" activePane="bottomLeft" state="frozen"/>
      <selection pane="bottomLeft" sqref="A1:W2"/>
    </sheetView>
  </sheetViews>
  <sheetFormatPr baseColWidth="10" defaultColWidth="8.6640625" defaultRowHeight="15" x14ac:dyDescent="0.2"/>
  <cols>
    <col min="1" max="2" width="8" customWidth="1"/>
    <col min="3" max="3" width="10" customWidth="1"/>
    <col min="4" max="7" width="16" customWidth="1"/>
    <col min="8" max="8" width="14" customWidth="1"/>
    <col min="9" max="9" width="12" customWidth="1"/>
    <col min="10" max="10" width="14" customWidth="1"/>
  </cols>
  <sheetData>
    <row r="1" spans="1:23" x14ac:dyDescent="0.2">
      <c r="A1" s="79" t="s">
        <v>92</v>
      </c>
      <c r="B1" s="80"/>
      <c r="C1" s="80"/>
      <c r="D1" s="80"/>
      <c r="E1" s="80"/>
      <c r="F1" s="80"/>
      <c r="G1" s="80"/>
      <c r="H1" s="80"/>
      <c r="I1" s="80"/>
      <c r="J1" s="80"/>
      <c r="K1" s="80"/>
      <c r="L1" s="80"/>
      <c r="M1" s="80"/>
      <c r="N1" s="80"/>
      <c r="O1" s="80"/>
      <c r="P1" s="80"/>
      <c r="Q1" s="80"/>
      <c r="R1" s="80"/>
      <c r="S1" s="80"/>
      <c r="T1" s="80"/>
      <c r="U1" s="80"/>
      <c r="V1" s="80"/>
      <c r="W1" s="80"/>
    </row>
    <row r="2" spans="1:23" x14ac:dyDescent="0.2">
      <c r="A2" s="80"/>
      <c r="B2" s="80"/>
      <c r="C2" s="80"/>
      <c r="D2" s="80"/>
      <c r="E2" s="80"/>
      <c r="F2" s="80"/>
      <c r="G2" s="80"/>
      <c r="H2" s="80"/>
      <c r="I2" s="80"/>
      <c r="J2" s="80"/>
      <c r="K2" s="80"/>
      <c r="L2" s="80"/>
      <c r="M2" s="80"/>
      <c r="N2" s="80"/>
      <c r="O2" s="80"/>
      <c r="P2" s="80"/>
      <c r="Q2" s="80"/>
      <c r="R2" s="80"/>
      <c r="S2" s="80"/>
      <c r="T2" s="80"/>
      <c r="U2" s="80"/>
      <c r="V2" s="80"/>
      <c r="W2" s="80"/>
    </row>
    <row r="4" spans="1:23" x14ac:dyDescent="0.2">
      <c r="A4" s="1" t="s">
        <v>2</v>
      </c>
      <c r="B4" s="1" t="s">
        <v>3</v>
      </c>
      <c r="C4" s="1" t="s">
        <v>75</v>
      </c>
      <c r="D4" s="1" t="s">
        <v>76</v>
      </c>
      <c r="E4" s="1" t="s">
        <v>77</v>
      </c>
      <c r="F4" s="1" t="s">
        <v>7</v>
      </c>
      <c r="G4" s="1" t="s">
        <v>9</v>
      </c>
      <c r="H4" s="1" t="s">
        <v>8</v>
      </c>
      <c r="I4" s="1" t="s">
        <v>78</v>
      </c>
      <c r="J4" s="1" t="s">
        <v>10</v>
      </c>
    </row>
    <row r="5" spans="1:23" x14ac:dyDescent="0.2">
      <c r="A5" s="2">
        <v>2019</v>
      </c>
      <c r="B5" s="2" t="s">
        <v>19</v>
      </c>
      <c r="C5" s="2" t="s">
        <v>79</v>
      </c>
      <c r="D5" s="3">
        <v>2285</v>
      </c>
      <c r="E5" s="4">
        <v>60.9</v>
      </c>
      <c r="F5" s="3">
        <v>344</v>
      </c>
      <c r="G5" s="3">
        <v>2414</v>
      </c>
      <c r="H5" s="3">
        <v>459</v>
      </c>
      <c r="I5" s="5">
        <v>12.03</v>
      </c>
      <c r="J5" s="6">
        <v>0.20087527352297591</v>
      </c>
    </row>
    <row r="6" spans="1:23" x14ac:dyDescent="0.2">
      <c r="A6" s="7">
        <v>2019</v>
      </c>
      <c r="B6" s="7" t="s">
        <v>22</v>
      </c>
      <c r="C6" s="7" t="s">
        <v>79</v>
      </c>
      <c r="D6" s="8">
        <v>2395</v>
      </c>
      <c r="E6" s="9">
        <v>60.1</v>
      </c>
      <c r="F6" s="8">
        <v>270</v>
      </c>
      <c r="G6" s="8">
        <v>2473</v>
      </c>
      <c r="H6" s="8">
        <v>706</v>
      </c>
      <c r="I6" s="10">
        <v>12.26</v>
      </c>
      <c r="J6" s="11">
        <v>0.29478079331941542</v>
      </c>
    </row>
    <row r="7" spans="1:23" x14ac:dyDescent="0.2">
      <c r="A7" s="2">
        <v>2019</v>
      </c>
      <c r="B7" s="2" t="s">
        <v>24</v>
      </c>
      <c r="C7" s="2" t="s">
        <v>79</v>
      </c>
      <c r="D7" s="3">
        <v>2499</v>
      </c>
      <c r="E7" s="4">
        <v>60</v>
      </c>
      <c r="F7" s="3">
        <v>665</v>
      </c>
      <c r="G7" s="3">
        <v>2567</v>
      </c>
      <c r="H7" s="3">
        <v>980</v>
      </c>
      <c r="I7" s="5">
        <v>12.39</v>
      </c>
      <c r="J7" s="6">
        <v>0.39215686274509798</v>
      </c>
    </row>
    <row r="8" spans="1:23" x14ac:dyDescent="0.2">
      <c r="A8" s="7">
        <v>2019</v>
      </c>
      <c r="B8" s="7" t="s">
        <v>26</v>
      </c>
      <c r="C8" s="7" t="s">
        <v>79</v>
      </c>
      <c r="D8" s="8">
        <v>2583</v>
      </c>
      <c r="E8" s="9">
        <v>61</v>
      </c>
      <c r="F8" s="8">
        <v>587</v>
      </c>
      <c r="G8" s="8">
        <v>2893</v>
      </c>
      <c r="H8" s="8">
        <v>1354</v>
      </c>
      <c r="I8" s="10">
        <v>12.55</v>
      </c>
      <c r="J8" s="11">
        <v>0.5241966705381339</v>
      </c>
    </row>
    <row r="9" spans="1:23" x14ac:dyDescent="0.2">
      <c r="A9" s="2">
        <v>2019</v>
      </c>
      <c r="B9" s="2" t="s">
        <v>19</v>
      </c>
      <c r="C9" s="2" t="s">
        <v>80</v>
      </c>
      <c r="D9" s="3">
        <v>942</v>
      </c>
      <c r="E9" s="4">
        <v>34.299999999999997</v>
      </c>
      <c r="F9" s="3">
        <v>344</v>
      </c>
      <c r="G9" s="3">
        <v>2414</v>
      </c>
      <c r="H9" s="3">
        <v>459</v>
      </c>
      <c r="I9" s="5">
        <v>9.67</v>
      </c>
      <c r="J9" s="6">
        <v>0.48726114649681529</v>
      </c>
    </row>
    <row r="10" spans="1:23" x14ac:dyDescent="0.2">
      <c r="A10" s="7">
        <v>2019</v>
      </c>
      <c r="B10" s="7" t="s">
        <v>22</v>
      </c>
      <c r="C10" s="7" t="s">
        <v>80</v>
      </c>
      <c r="D10" s="8">
        <v>1025</v>
      </c>
      <c r="E10" s="9">
        <v>35.700000000000003</v>
      </c>
      <c r="F10" s="8">
        <v>270</v>
      </c>
      <c r="G10" s="8">
        <v>2473</v>
      </c>
      <c r="H10" s="8">
        <v>706</v>
      </c>
      <c r="I10" s="10">
        <v>10.01</v>
      </c>
      <c r="J10" s="11">
        <v>0.68878048780487799</v>
      </c>
    </row>
    <row r="11" spans="1:23" x14ac:dyDescent="0.2">
      <c r="A11" s="2">
        <v>2019</v>
      </c>
      <c r="B11" s="2" t="s">
        <v>24</v>
      </c>
      <c r="C11" s="2" t="s">
        <v>80</v>
      </c>
      <c r="D11" s="3">
        <v>1101</v>
      </c>
      <c r="E11" s="4">
        <v>37.200000000000003</v>
      </c>
      <c r="F11" s="3">
        <v>665</v>
      </c>
      <c r="G11" s="3">
        <v>2567</v>
      </c>
      <c r="H11" s="3">
        <v>980</v>
      </c>
      <c r="I11" s="5">
        <v>10.36</v>
      </c>
      <c r="J11" s="6">
        <v>0.8900999091734787</v>
      </c>
    </row>
    <row r="12" spans="1:23" x14ac:dyDescent="0.2">
      <c r="A12" s="7">
        <v>2019</v>
      </c>
      <c r="B12" s="7" t="s">
        <v>26</v>
      </c>
      <c r="C12" s="7" t="s">
        <v>80</v>
      </c>
      <c r="D12" s="8">
        <v>1211</v>
      </c>
      <c r="E12" s="9">
        <v>40.799999999999997</v>
      </c>
      <c r="F12" s="8">
        <v>587</v>
      </c>
      <c r="G12" s="8">
        <v>2893</v>
      </c>
      <c r="H12" s="8">
        <v>1354</v>
      </c>
      <c r="I12" s="10">
        <v>10.35</v>
      </c>
      <c r="J12" s="11">
        <v>1.118084227910817</v>
      </c>
    </row>
    <row r="13" spans="1:23" x14ac:dyDescent="0.2">
      <c r="A13" s="2">
        <v>2019</v>
      </c>
      <c r="B13" s="2" t="s">
        <v>19</v>
      </c>
      <c r="C13" s="2" t="s">
        <v>81</v>
      </c>
      <c r="D13" s="3">
        <v>592</v>
      </c>
      <c r="E13" s="4">
        <v>26.7</v>
      </c>
      <c r="F13" s="3">
        <v>344</v>
      </c>
      <c r="G13" s="3">
        <v>2414</v>
      </c>
      <c r="H13" s="3">
        <v>459</v>
      </c>
      <c r="I13" s="5">
        <v>8.1199999999999992</v>
      </c>
      <c r="J13" s="6">
        <v>0.77533783783783783</v>
      </c>
    </row>
    <row r="14" spans="1:23" x14ac:dyDescent="0.2">
      <c r="A14" s="7">
        <v>2019</v>
      </c>
      <c r="B14" s="7" t="s">
        <v>22</v>
      </c>
      <c r="C14" s="7" t="s">
        <v>81</v>
      </c>
      <c r="D14" s="8">
        <v>644</v>
      </c>
      <c r="E14" s="9">
        <v>27.6</v>
      </c>
      <c r="F14" s="8">
        <v>270</v>
      </c>
      <c r="G14" s="8">
        <v>2473</v>
      </c>
      <c r="H14" s="8">
        <v>706</v>
      </c>
      <c r="I14" s="10">
        <v>8.34</v>
      </c>
      <c r="J14" s="11">
        <v>1.0962732919254661</v>
      </c>
    </row>
    <row r="15" spans="1:23" x14ac:dyDescent="0.2">
      <c r="A15" s="2">
        <v>2019</v>
      </c>
      <c r="B15" s="2" t="s">
        <v>24</v>
      </c>
      <c r="C15" s="2" t="s">
        <v>81</v>
      </c>
      <c r="D15" s="3">
        <v>698</v>
      </c>
      <c r="E15" s="4">
        <v>28.6</v>
      </c>
      <c r="F15" s="3">
        <v>665</v>
      </c>
      <c r="G15" s="3">
        <v>2567</v>
      </c>
      <c r="H15" s="3">
        <v>980</v>
      </c>
      <c r="I15" s="5">
        <v>8.57</v>
      </c>
      <c r="J15" s="6">
        <v>1.4040114613180521</v>
      </c>
    </row>
    <row r="16" spans="1:23" x14ac:dyDescent="0.2">
      <c r="A16" s="7">
        <v>2019</v>
      </c>
      <c r="B16" s="7" t="s">
        <v>26</v>
      </c>
      <c r="C16" s="7" t="s">
        <v>81</v>
      </c>
      <c r="D16" s="8">
        <v>752</v>
      </c>
      <c r="E16" s="9">
        <v>29.4</v>
      </c>
      <c r="F16" s="8">
        <v>587</v>
      </c>
      <c r="G16" s="8">
        <v>2893</v>
      </c>
      <c r="H16" s="8">
        <v>1354</v>
      </c>
      <c r="I16" s="10">
        <v>8.7799999999999994</v>
      </c>
      <c r="J16" s="11">
        <v>1.800531914893617</v>
      </c>
    </row>
    <row r="17" spans="1:10" x14ac:dyDescent="0.2">
      <c r="A17" s="2">
        <v>2019</v>
      </c>
      <c r="B17" s="2" t="s">
        <v>19</v>
      </c>
      <c r="C17" s="2" t="s">
        <v>82</v>
      </c>
      <c r="D17" s="3">
        <v>280</v>
      </c>
      <c r="E17" s="4">
        <v>10.8</v>
      </c>
      <c r="F17" s="3">
        <v>344</v>
      </c>
      <c r="G17" s="3">
        <v>2414</v>
      </c>
      <c r="H17" s="3">
        <v>459</v>
      </c>
      <c r="I17" s="5">
        <v>9.2200000000000006</v>
      </c>
      <c r="J17" s="6">
        <v>1.639285714285714</v>
      </c>
    </row>
    <row r="18" spans="1:10" x14ac:dyDescent="0.2">
      <c r="A18" s="7">
        <v>2019</v>
      </c>
      <c r="B18" s="7" t="s">
        <v>22</v>
      </c>
      <c r="C18" s="7" t="s">
        <v>82</v>
      </c>
      <c r="D18" s="8">
        <v>323</v>
      </c>
      <c r="E18" s="9">
        <v>11.5</v>
      </c>
      <c r="F18" s="8">
        <v>270</v>
      </c>
      <c r="G18" s="8">
        <v>2473</v>
      </c>
      <c r="H18" s="8">
        <v>706</v>
      </c>
      <c r="I18" s="10">
        <v>9.85</v>
      </c>
      <c r="J18" s="11">
        <v>2.185758513931888</v>
      </c>
    </row>
    <row r="19" spans="1:10" x14ac:dyDescent="0.2">
      <c r="A19" s="2">
        <v>2019</v>
      </c>
      <c r="B19" s="2" t="s">
        <v>24</v>
      </c>
      <c r="C19" s="2" t="s">
        <v>82</v>
      </c>
      <c r="D19" s="3">
        <v>371</v>
      </c>
      <c r="E19" s="4">
        <v>12.5</v>
      </c>
      <c r="F19" s="3">
        <v>665</v>
      </c>
      <c r="G19" s="3">
        <v>2567</v>
      </c>
      <c r="H19" s="3">
        <v>980</v>
      </c>
      <c r="I19" s="5">
        <v>10.41</v>
      </c>
      <c r="J19" s="6">
        <v>2.641509433962264</v>
      </c>
    </row>
    <row r="20" spans="1:10" x14ac:dyDescent="0.2">
      <c r="A20" s="7">
        <v>2019</v>
      </c>
      <c r="B20" s="7" t="s">
        <v>26</v>
      </c>
      <c r="C20" s="7" t="s">
        <v>82</v>
      </c>
      <c r="D20" s="8">
        <v>422</v>
      </c>
      <c r="E20" s="9">
        <v>14.4</v>
      </c>
      <c r="F20" s="8">
        <v>587</v>
      </c>
      <c r="G20" s="8">
        <v>2893</v>
      </c>
      <c r="H20" s="8">
        <v>1354</v>
      </c>
      <c r="I20" s="10">
        <v>10.88</v>
      </c>
      <c r="J20" s="11">
        <v>3.2085308056872042</v>
      </c>
    </row>
    <row r="21" spans="1:10" x14ac:dyDescent="0.2">
      <c r="A21" s="2">
        <v>2020</v>
      </c>
      <c r="B21" s="2" t="s">
        <v>19</v>
      </c>
      <c r="C21" s="2" t="s">
        <v>79</v>
      </c>
      <c r="D21" s="3">
        <v>2775</v>
      </c>
      <c r="E21" s="4">
        <v>66.599999999999994</v>
      </c>
      <c r="F21" s="3">
        <v>709</v>
      </c>
      <c r="G21" s="3">
        <v>2774</v>
      </c>
      <c r="H21" s="3">
        <v>958</v>
      </c>
      <c r="I21" s="5">
        <v>12.96</v>
      </c>
      <c r="J21" s="6">
        <v>0.34522522522522531</v>
      </c>
    </row>
    <row r="22" spans="1:10" x14ac:dyDescent="0.2">
      <c r="A22" s="7">
        <v>2020</v>
      </c>
      <c r="B22" s="7" t="s">
        <v>22</v>
      </c>
      <c r="C22" s="7" t="s">
        <v>79</v>
      </c>
      <c r="D22" s="8">
        <v>2904</v>
      </c>
      <c r="E22" s="9">
        <v>72.900000000000006</v>
      </c>
      <c r="F22" s="8">
        <v>1147</v>
      </c>
      <c r="G22" s="8">
        <v>2932</v>
      </c>
      <c r="H22" s="8">
        <v>1358</v>
      </c>
      <c r="I22" s="10">
        <v>13.04</v>
      </c>
      <c r="J22" s="11">
        <v>0.46763085399449028</v>
      </c>
    </row>
    <row r="23" spans="1:10" x14ac:dyDescent="0.2">
      <c r="A23" s="2">
        <v>2020</v>
      </c>
      <c r="B23" s="2" t="s">
        <v>24</v>
      </c>
      <c r="C23" s="2" t="s">
        <v>79</v>
      </c>
      <c r="D23" s="3">
        <v>3048</v>
      </c>
      <c r="E23" s="4">
        <v>73.099999999999994</v>
      </c>
      <c r="F23" s="3">
        <v>790</v>
      </c>
      <c r="G23" s="3">
        <v>3104</v>
      </c>
      <c r="H23" s="3">
        <v>1315</v>
      </c>
      <c r="I23" s="5">
        <v>13.15</v>
      </c>
      <c r="J23" s="6">
        <v>0.43143044619422571</v>
      </c>
    </row>
    <row r="24" spans="1:10" x14ac:dyDescent="0.2">
      <c r="A24" s="7">
        <v>2020</v>
      </c>
      <c r="B24" s="7" t="s">
        <v>26</v>
      </c>
      <c r="C24" s="7" t="s">
        <v>79</v>
      </c>
      <c r="D24" s="8">
        <v>3163</v>
      </c>
      <c r="E24" s="9">
        <v>75.2</v>
      </c>
      <c r="F24" s="8">
        <v>1449</v>
      </c>
      <c r="G24" s="8">
        <v>3408</v>
      </c>
      <c r="H24" s="8">
        <v>1492</v>
      </c>
      <c r="I24" s="10">
        <v>13.07</v>
      </c>
      <c r="J24" s="11">
        <v>0.47170407840657602</v>
      </c>
    </row>
    <row r="25" spans="1:10" x14ac:dyDescent="0.2">
      <c r="A25" s="2">
        <v>2020</v>
      </c>
      <c r="B25" s="2" t="s">
        <v>19</v>
      </c>
      <c r="C25" s="2" t="s">
        <v>80</v>
      </c>
      <c r="D25" s="3">
        <v>1262</v>
      </c>
      <c r="E25" s="4">
        <v>41.7</v>
      </c>
      <c r="F25" s="3">
        <v>709</v>
      </c>
      <c r="G25" s="3">
        <v>2774</v>
      </c>
      <c r="H25" s="3">
        <v>958</v>
      </c>
      <c r="I25" s="5">
        <v>10.32</v>
      </c>
      <c r="J25" s="6">
        <v>0.75911251980982564</v>
      </c>
    </row>
    <row r="26" spans="1:10" x14ac:dyDescent="0.2">
      <c r="A26" s="7">
        <v>2020</v>
      </c>
      <c r="B26" s="7" t="s">
        <v>22</v>
      </c>
      <c r="C26" s="7" t="s">
        <v>80</v>
      </c>
      <c r="D26" s="8">
        <v>1418</v>
      </c>
      <c r="E26" s="9">
        <v>45.9</v>
      </c>
      <c r="F26" s="8">
        <v>1147</v>
      </c>
      <c r="G26" s="8">
        <v>2932</v>
      </c>
      <c r="H26" s="8">
        <v>1358</v>
      </c>
      <c r="I26" s="10">
        <v>10.59</v>
      </c>
      <c r="J26" s="11">
        <v>0.9576868829337094</v>
      </c>
    </row>
    <row r="27" spans="1:10" x14ac:dyDescent="0.2">
      <c r="A27" s="2">
        <v>2020</v>
      </c>
      <c r="B27" s="2" t="s">
        <v>24</v>
      </c>
      <c r="C27" s="2" t="s">
        <v>80</v>
      </c>
      <c r="D27" s="3">
        <v>1517</v>
      </c>
      <c r="E27" s="4">
        <v>47.5</v>
      </c>
      <c r="F27" s="3">
        <v>790</v>
      </c>
      <c r="G27" s="3">
        <v>3104</v>
      </c>
      <c r="H27" s="3">
        <v>1315</v>
      </c>
      <c r="I27" s="5">
        <v>11.28</v>
      </c>
      <c r="J27" s="6">
        <v>0.86684245220830591</v>
      </c>
    </row>
    <row r="28" spans="1:10" x14ac:dyDescent="0.2">
      <c r="A28" s="7">
        <v>2020</v>
      </c>
      <c r="B28" s="7" t="s">
        <v>26</v>
      </c>
      <c r="C28" s="7" t="s">
        <v>80</v>
      </c>
      <c r="D28" s="8">
        <v>1604</v>
      </c>
      <c r="E28" s="9">
        <v>51.8</v>
      </c>
      <c r="F28" s="8">
        <v>1449</v>
      </c>
      <c r="G28" s="8">
        <v>3408</v>
      </c>
      <c r="H28" s="8">
        <v>1492</v>
      </c>
      <c r="I28" s="10">
        <v>10.96</v>
      </c>
      <c r="J28" s="11">
        <v>0.93017456359102246</v>
      </c>
    </row>
    <row r="29" spans="1:10" x14ac:dyDescent="0.2">
      <c r="A29" s="2">
        <v>2020</v>
      </c>
      <c r="B29" s="2" t="s">
        <v>19</v>
      </c>
      <c r="C29" s="2" t="s">
        <v>81</v>
      </c>
      <c r="D29" s="3">
        <v>792</v>
      </c>
      <c r="E29" s="4">
        <v>30</v>
      </c>
      <c r="F29" s="3">
        <v>709</v>
      </c>
      <c r="G29" s="3">
        <v>2774</v>
      </c>
      <c r="H29" s="3">
        <v>958</v>
      </c>
      <c r="I29" s="5">
        <v>8.94</v>
      </c>
      <c r="J29" s="6">
        <v>1.20959595959596</v>
      </c>
    </row>
    <row r="30" spans="1:10" x14ac:dyDescent="0.2">
      <c r="A30" s="7">
        <v>2020</v>
      </c>
      <c r="B30" s="7" t="s">
        <v>22</v>
      </c>
      <c r="C30" s="7" t="s">
        <v>81</v>
      </c>
      <c r="D30" s="8">
        <v>858</v>
      </c>
      <c r="E30" s="9">
        <v>30.5</v>
      </c>
      <c r="F30" s="8">
        <v>1147</v>
      </c>
      <c r="G30" s="8">
        <v>2932</v>
      </c>
      <c r="H30" s="8">
        <v>1358</v>
      </c>
      <c r="I30" s="10">
        <v>9.2100000000000009</v>
      </c>
      <c r="J30" s="11">
        <v>1.582750582750583</v>
      </c>
    </row>
    <row r="31" spans="1:10" x14ac:dyDescent="0.2">
      <c r="A31" s="2">
        <v>2020</v>
      </c>
      <c r="B31" s="2" t="s">
        <v>24</v>
      </c>
      <c r="C31" s="2" t="s">
        <v>81</v>
      </c>
      <c r="D31" s="3">
        <v>920</v>
      </c>
      <c r="E31" s="4">
        <v>31.1</v>
      </c>
      <c r="F31" s="3">
        <v>790</v>
      </c>
      <c r="G31" s="3">
        <v>3104</v>
      </c>
      <c r="H31" s="3">
        <v>1315</v>
      </c>
      <c r="I31" s="5">
        <v>9.58</v>
      </c>
      <c r="J31" s="6">
        <v>1.429347826086957</v>
      </c>
    </row>
    <row r="32" spans="1:10" x14ac:dyDescent="0.2">
      <c r="A32" s="7">
        <v>2020</v>
      </c>
      <c r="B32" s="7" t="s">
        <v>26</v>
      </c>
      <c r="C32" s="7" t="s">
        <v>81</v>
      </c>
      <c r="D32" s="8">
        <v>995</v>
      </c>
      <c r="E32" s="9">
        <v>33</v>
      </c>
      <c r="F32" s="8">
        <v>1449</v>
      </c>
      <c r="G32" s="8">
        <v>3408</v>
      </c>
      <c r="H32" s="8">
        <v>1492</v>
      </c>
      <c r="I32" s="10">
        <v>9.8699999999999992</v>
      </c>
      <c r="J32" s="11">
        <v>1.499497487437186</v>
      </c>
    </row>
    <row r="33" spans="1:10" x14ac:dyDescent="0.2">
      <c r="A33" s="2">
        <v>2020</v>
      </c>
      <c r="B33" s="2" t="s">
        <v>19</v>
      </c>
      <c r="C33" s="2" t="s">
        <v>82</v>
      </c>
      <c r="D33" s="3">
        <v>467</v>
      </c>
      <c r="E33" s="4">
        <v>14.9</v>
      </c>
      <c r="F33" s="3">
        <v>709</v>
      </c>
      <c r="G33" s="3">
        <v>2774</v>
      </c>
      <c r="H33" s="3">
        <v>958</v>
      </c>
      <c r="I33" s="5">
        <v>10.210000000000001</v>
      </c>
      <c r="J33" s="6">
        <v>2.0513918629550321</v>
      </c>
    </row>
    <row r="34" spans="1:10" x14ac:dyDescent="0.2">
      <c r="A34" s="7">
        <v>2020</v>
      </c>
      <c r="B34" s="7" t="s">
        <v>22</v>
      </c>
      <c r="C34" s="7" t="s">
        <v>82</v>
      </c>
      <c r="D34" s="8">
        <v>519</v>
      </c>
      <c r="E34" s="9">
        <v>15.4</v>
      </c>
      <c r="F34" s="8">
        <v>1147</v>
      </c>
      <c r="G34" s="8">
        <v>2932</v>
      </c>
      <c r="H34" s="8">
        <v>1358</v>
      </c>
      <c r="I34" s="10">
        <v>10.66</v>
      </c>
      <c r="J34" s="11">
        <v>2.6165703275529859</v>
      </c>
    </row>
    <row r="35" spans="1:10" x14ac:dyDescent="0.2">
      <c r="A35" s="2">
        <v>2020</v>
      </c>
      <c r="B35" s="2" t="s">
        <v>24</v>
      </c>
      <c r="C35" s="2" t="s">
        <v>82</v>
      </c>
      <c r="D35" s="3">
        <v>566</v>
      </c>
      <c r="E35" s="4">
        <v>16.5</v>
      </c>
      <c r="F35" s="3">
        <v>790</v>
      </c>
      <c r="G35" s="3">
        <v>3104</v>
      </c>
      <c r="H35" s="3">
        <v>1315</v>
      </c>
      <c r="I35" s="5">
        <v>11.12</v>
      </c>
      <c r="J35" s="6">
        <v>2.3233215547703181</v>
      </c>
    </row>
    <row r="36" spans="1:10" x14ac:dyDescent="0.2">
      <c r="A36" s="7">
        <v>2020</v>
      </c>
      <c r="B36" s="7" t="s">
        <v>26</v>
      </c>
      <c r="C36" s="7" t="s">
        <v>82</v>
      </c>
      <c r="D36" s="8">
        <v>627</v>
      </c>
      <c r="E36" s="9">
        <v>18.2</v>
      </c>
      <c r="F36" s="8">
        <v>1449</v>
      </c>
      <c r="G36" s="8">
        <v>3408</v>
      </c>
      <c r="H36" s="8">
        <v>1492</v>
      </c>
      <c r="I36" s="10">
        <v>11.53</v>
      </c>
      <c r="J36" s="11">
        <v>2.3795853269537481</v>
      </c>
    </row>
    <row r="37" spans="1:10" x14ac:dyDescent="0.2">
      <c r="A37" s="2">
        <v>2021</v>
      </c>
      <c r="B37" s="2" t="s">
        <v>19</v>
      </c>
      <c r="C37" s="2" t="s">
        <v>79</v>
      </c>
      <c r="D37" s="3">
        <v>3289</v>
      </c>
      <c r="E37" s="4">
        <v>75.8</v>
      </c>
      <c r="F37" s="3">
        <v>1707</v>
      </c>
      <c r="G37" s="3">
        <v>3517</v>
      </c>
      <c r="H37" s="3">
        <v>1960</v>
      </c>
      <c r="I37" s="5">
        <v>13.59</v>
      </c>
      <c r="J37" s="6">
        <v>0.59592581331711769</v>
      </c>
    </row>
    <row r="38" spans="1:10" x14ac:dyDescent="0.2">
      <c r="A38" s="7">
        <v>2021</v>
      </c>
      <c r="B38" s="7" t="s">
        <v>22</v>
      </c>
      <c r="C38" s="7" t="s">
        <v>79</v>
      </c>
      <c r="D38" s="8">
        <v>3449</v>
      </c>
      <c r="E38" s="9">
        <v>75.599999999999994</v>
      </c>
      <c r="F38" s="8">
        <v>1353</v>
      </c>
      <c r="G38" s="8">
        <v>3522</v>
      </c>
      <c r="H38" s="8">
        <v>1979</v>
      </c>
      <c r="I38" s="10">
        <v>14.43</v>
      </c>
      <c r="J38" s="11">
        <v>0.57378950420411712</v>
      </c>
    </row>
    <row r="39" spans="1:10" x14ac:dyDescent="0.2">
      <c r="A39" s="2">
        <v>2021</v>
      </c>
      <c r="B39" s="2" t="s">
        <v>24</v>
      </c>
      <c r="C39" s="2" t="s">
        <v>79</v>
      </c>
      <c r="D39" s="3">
        <v>3590</v>
      </c>
      <c r="E39" s="4">
        <v>75.2</v>
      </c>
      <c r="F39" s="3">
        <v>1449</v>
      </c>
      <c r="G39" s="3">
        <v>3627</v>
      </c>
      <c r="H39" s="3">
        <v>1756</v>
      </c>
      <c r="I39" s="5">
        <v>14.88</v>
      </c>
      <c r="J39" s="6">
        <v>0.48913649025069639</v>
      </c>
    </row>
    <row r="40" spans="1:10" x14ac:dyDescent="0.2">
      <c r="A40" s="7">
        <v>2021</v>
      </c>
      <c r="B40" s="7" t="s">
        <v>26</v>
      </c>
      <c r="C40" s="7" t="s">
        <v>79</v>
      </c>
      <c r="D40" s="8">
        <v>3748</v>
      </c>
      <c r="E40" s="9">
        <v>75.2</v>
      </c>
      <c r="F40" s="8">
        <v>607</v>
      </c>
      <c r="G40" s="8">
        <v>4033</v>
      </c>
      <c r="H40" s="8">
        <v>1444</v>
      </c>
      <c r="I40" s="10">
        <v>15.43</v>
      </c>
      <c r="J40" s="11">
        <v>0.38527214514407682</v>
      </c>
    </row>
    <row r="41" spans="1:10" x14ac:dyDescent="0.2">
      <c r="A41" s="2">
        <v>2021</v>
      </c>
      <c r="B41" s="2" t="s">
        <v>19</v>
      </c>
      <c r="C41" s="2" t="s">
        <v>80</v>
      </c>
      <c r="D41" s="3">
        <v>1716</v>
      </c>
      <c r="E41" s="4">
        <v>55.5</v>
      </c>
      <c r="F41" s="3">
        <v>1707</v>
      </c>
      <c r="G41" s="3">
        <v>3517</v>
      </c>
      <c r="H41" s="3">
        <v>1960</v>
      </c>
      <c r="I41" s="5">
        <v>10.55</v>
      </c>
      <c r="J41" s="6">
        <v>1.1421911421911419</v>
      </c>
    </row>
    <row r="42" spans="1:10" x14ac:dyDescent="0.2">
      <c r="A42" s="7">
        <v>2021</v>
      </c>
      <c r="B42" s="7" t="s">
        <v>22</v>
      </c>
      <c r="C42" s="7" t="s">
        <v>80</v>
      </c>
      <c r="D42" s="8">
        <v>1870</v>
      </c>
      <c r="E42" s="9">
        <v>60.3</v>
      </c>
      <c r="F42" s="8">
        <v>1353</v>
      </c>
      <c r="G42" s="8">
        <v>3522</v>
      </c>
      <c r="H42" s="8">
        <v>1979</v>
      </c>
      <c r="I42" s="10">
        <v>10.84</v>
      </c>
      <c r="J42" s="11">
        <v>1.058288770053476</v>
      </c>
    </row>
    <row r="43" spans="1:10" x14ac:dyDescent="0.2">
      <c r="A43" s="2">
        <v>2021</v>
      </c>
      <c r="B43" s="2" t="s">
        <v>24</v>
      </c>
      <c r="C43" s="2" t="s">
        <v>80</v>
      </c>
      <c r="D43" s="3">
        <v>1970</v>
      </c>
      <c r="E43" s="4">
        <v>62.8</v>
      </c>
      <c r="F43" s="3">
        <v>1449</v>
      </c>
      <c r="G43" s="3">
        <v>3627</v>
      </c>
      <c r="H43" s="3">
        <v>1756</v>
      </c>
      <c r="I43" s="5">
        <v>10.72</v>
      </c>
      <c r="J43" s="6">
        <v>0.8913705583756345</v>
      </c>
    </row>
    <row r="44" spans="1:10" x14ac:dyDescent="0.2">
      <c r="A44" s="7">
        <v>2021</v>
      </c>
      <c r="B44" s="7" t="s">
        <v>26</v>
      </c>
      <c r="C44" s="7" t="s">
        <v>80</v>
      </c>
      <c r="D44" s="8">
        <v>2093</v>
      </c>
      <c r="E44" s="9">
        <v>66.400000000000006</v>
      </c>
      <c r="F44" s="8">
        <v>607</v>
      </c>
      <c r="G44" s="8">
        <v>4033</v>
      </c>
      <c r="H44" s="8">
        <v>1444</v>
      </c>
      <c r="I44" s="10">
        <v>10.96</v>
      </c>
      <c r="J44" s="11">
        <v>0.68991877687529857</v>
      </c>
    </row>
    <row r="45" spans="1:10" x14ac:dyDescent="0.2">
      <c r="A45" s="2">
        <v>2021</v>
      </c>
      <c r="B45" s="2" t="s">
        <v>19</v>
      </c>
      <c r="C45" s="2" t="s">
        <v>81</v>
      </c>
      <c r="D45" s="3">
        <v>1017</v>
      </c>
      <c r="E45" s="4">
        <v>36.700000000000003</v>
      </c>
      <c r="F45" s="3">
        <v>1707</v>
      </c>
      <c r="G45" s="3">
        <v>3517</v>
      </c>
      <c r="H45" s="3">
        <v>1960</v>
      </c>
      <c r="I45" s="5">
        <v>9.4600000000000009</v>
      </c>
      <c r="J45" s="6">
        <v>1.927236971484759</v>
      </c>
    </row>
    <row r="46" spans="1:10" x14ac:dyDescent="0.2">
      <c r="A46" s="7">
        <v>2021</v>
      </c>
      <c r="B46" s="7" t="s">
        <v>22</v>
      </c>
      <c r="C46" s="7" t="s">
        <v>81</v>
      </c>
      <c r="D46" s="8">
        <v>1044</v>
      </c>
      <c r="E46" s="9">
        <v>37.5</v>
      </c>
      <c r="F46" s="8">
        <v>1353</v>
      </c>
      <c r="G46" s="8">
        <v>3522</v>
      </c>
      <c r="H46" s="8">
        <v>1979</v>
      </c>
      <c r="I46" s="10">
        <v>9.7100000000000009</v>
      </c>
      <c r="J46" s="11">
        <v>1.8955938697318011</v>
      </c>
    </row>
    <row r="47" spans="1:10" x14ac:dyDescent="0.2">
      <c r="A47" s="2">
        <v>2021</v>
      </c>
      <c r="B47" s="2" t="s">
        <v>24</v>
      </c>
      <c r="C47" s="2" t="s">
        <v>81</v>
      </c>
      <c r="D47" s="3">
        <v>1073</v>
      </c>
      <c r="E47" s="4">
        <v>39.1</v>
      </c>
      <c r="F47" s="3">
        <v>1449</v>
      </c>
      <c r="G47" s="3">
        <v>3627</v>
      </c>
      <c r="H47" s="3">
        <v>1756</v>
      </c>
      <c r="I47" s="5">
        <v>9.93</v>
      </c>
      <c r="J47" s="6">
        <v>1.636533084808947</v>
      </c>
    </row>
    <row r="48" spans="1:10" x14ac:dyDescent="0.2">
      <c r="A48" s="7">
        <v>2021</v>
      </c>
      <c r="B48" s="7" t="s">
        <v>26</v>
      </c>
      <c r="C48" s="7" t="s">
        <v>81</v>
      </c>
      <c r="D48" s="8">
        <v>1109</v>
      </c>
      <c r="E48" s="9">
        <v>41</v>
      </c>
      <c r="F48" s="8">
        <v>607</v>
      </c>
      <c r="G48" s="8">
        <v>4033</v>
      </c>
      <c r="H48" s="8">
        <v>1444</v>
      </c>
      <c r="I48" s="10">
        <v>10.28</v>
      </c>
      <c r="J48" s="11">
        <v>1.302073940486925</v>
      </c>
    </row>
    <row r="49" spans="1:10" x14ac:dyDescent="0.2">
      <c r="A49" s="2">
        <v>2021</v>
      </c>
      <c r="B49" s="2" t="s">
        <v>19</v>
      </c>
      <c r="C49" s="2" t="s">
        <v>82</v>
      </c>
      <c r="D49" s="3">
        <v>659</v>
      </c>
      <c r="E49" s="4">
        <v>25.5</v>
      </c>
      <c r="F49" s="3">
        <v>1707</v>
      </c>
      <c r="G49" s="3">
        <v>3517</v>
      </c>
      <c r="H49" s="3">
        <v>1960</v>
      </c>
      <c r="I49" s="5">
        <v>9.17</v>
      </c>
      <c r="J49" s="6">
        <v>2.9742033383915021</v>
      </c>
    </row>
    <row r="50" spans="1:10" x14ac:dyDescent="0.2">
      <c r="A50" s="7">
        <v>2021</v>
      </c>
      <c r="B50" s="7" t="s">
        <v>22</v>
      </c>
      <c r="C50" s="7" t="s">
        <v>82</v>
      </c>
      <c r="D50" s="8">
        <v>695</v>
      </c>
      <c r="E50" s="9">
        <v>32.700000000000003</v>
      </c>
      <c r="F50" s="8">
        <v>1353</v>
      </c>
      <c r="G50" s="8">
        <v>3522</v>
      </c>
      <c r="H50" s="8">
        <v>1979</v>
      </c>
      <c r="I50" s="10">
        <v>9.5500000000000007</v>
      </c>
      <c r="J50" s="11">
        <v>2.8474820143884889</v>
      </c>
    </row>
    <row r="51" spans="1:10" x14ac:dyDescent="0.2">
      <c r="A51" s="2">
        <v>2021</v>
      </c>
      <c r="B51" s="2" t="s">
        <v>24</v>
      </c>
      <c r="C51" s="2" t="s">
        <v>82</v>
      </c>
      <c r="D51" s="3">
        <v>734</v>
      </c>
      <c r="E51" s="4">
        <v>36.5</v>
      </c>
      <c r="F51" s="3">
        <v>1449</v>
      </c>
      <c r="G51" s="3">
        <v>3627</v>
      </c>
      <c r="H51" s="3">
        <v>1756</v>
      </c>
      <c r="I51" s="5">
        <v>9.82</v>
      </c>
      <c r="J51" s="6">
        <v>2.392370572207084</v>
      </c>
    </row>
    <row r="52" spans="1:10" x14ac:dyDescent="0.2">
      <c r="A52" s="7">
        <v>2021</v>
      </c>
      <c r="B52" s="7" t="s">
        <v>26</v>
      </c>
      <c r="C52" s="7" t="s">
        <v>82</v>
      </c>
      <c r="D52" s="8">
        <v>820</v>
      </c>
      <c r="E52" s="9">
        <v>32.700000000000003</v>
      </c>
      <c r="F52" s="8">
        <v>607</v>
      </c>
      <c r="G52" s="8">
        <v>4033</v>
      </c>
      <c r="H52" s="8">
        <v>1444</v>
      </c>
      <c r="I52" s="10">
        <v>10.130000000000001</v>
      </c>
      <c r="J52" s="11">
        <v>1.760975609756098</v>
      </c>
    </row>
    <row r="53" spans="1:10" x14ac:dyDescent="0.2">
      <c r="A53" s="2">
        <v>2022</v>
      </c>
      <c r="B53" s="2" t="s">
        <v>19</v>
      </c>
      <c r="C53" s="2" t="s">
        <v>79</v>
      </c>
      <c r="D53" s="3">
        <v>3963</v>
      </c>
      <c r="E53" s="4">
        <v>74.599999999999994</v>
      </c>
      <c r="F53" s="3">
        <v>1597</v>
      </c>
      <c r="G53" s="3">
        <v>4283</v>
      </c>
      <c r="H53" s="3">
        <v>1370</v>
      </c>
      <c r="I53" s="5">
        <v>15.95</v>
      </c>
      <c r="J53" s="6">
        <v>0.34569770375977787</v>
      </c>
    </row>
    <row r="54" spans="1:10" x14ac:dyDescent="0.2">
      <c r="A54" s="7">
        <v>2022</v>
      </c>
      <c r="B54" s="7" t="s">
        <v>22</v>
      </c>
      <c r="C54" s="7" t="s">
        <v>79</v>
      </c>
      <c r="D54" s="8">
        <v>3567</v>
      </c>
      <c r="E54" s="9">
        <v>73.3</v>
      </c>
      <c r="F54" s="12">
        <v>-970</v>
      </c>
      <c r="G54" s="8">
        <v>4188</v>
      </c>
      <c r="H54" s="8">
        <v>974</v>
      </c>
      <c r="I54" s="10">
        <v>15.95</v>
      </c>
      <c r="J54" s="11">
        <v>0.27305859265489207</v>
      </c>
    </row>
    <row r="55" spans="1:10" x14ac:dyDescent="0.2">
      <c r="A55" s="2">
        <v>2022</v>
      </c>
      <c r="B55" s="2" t="s">
        <v>24</v>
      </c>
      <c r="C55" s="2" t="s">
        <v>79</v>
      </c>
      <c r="D55" s="3">
        <v>3554</v>
      </c>
      <c r="E55" s="4">
        <v>73.400000000000006</v>
      </c>
      <c r="F55" s="3">
        <v>557</v>
      </c>
      <c r="G55" s="3">
        <v>3875</v>
      </c>
      <c r="H55" s="3">
        <v>1534</v>
      </c>
      <c r="I55" s="5">
        <v>15.67</v>
      </c>
      <c r="J55" s="6">
        <v>0.43162633652222848</v>
      </c>
    </row>
    <row r="56" spans="1:10" x14ac:dyDescent="0.2">
      <c r="A56" s="7">
        <v>2022</v>
      </c>
      <c r="B56" s="7" t="s">
        <v>26</v>
      </c>
      <c r="C56" s="7" t="s">
        <v>79</v>
      </c>
      <c r="D56" s="8">
        <v>3584</v>
      </c>
      <c r="E56" s="9">
        <v>74.3</v>
      </c>
      <c r="F56" s="12">
        <v>-559</v>
      </c>
      <c r="G56" s="8">
        <v>4169</v>
      </c>
      <c r="H56" s="8">
        <v>1234</v>
      </c>
      <c r="I56" s="10">
        <v>16.190000000000001</v>
      </c>
      <c r="J56" s="11">
        <v>0.3443080357142857</v>
      </c>
    </row>
    <row r="57" spans="1:10" x14ac:dyDescent="0.2">
      <c r="A57" s="2">
        <v>2022</v>
      </c>
      <c r="B57" s="2" t="s">
        <v>19</v>
      </c>
      <c r="C57" s="2" t="s">
        <v>80</v>
      </c>
      <c r="D57" s="3">
        <v>2204</v>
      </c>
      <c r="E57" s="4">
        <v>68.3</v>
      </c>
      <c r="F57" s="3">
        <v>1597</v>
      </c>
      <c r="G57" s="3">
        <v>4283</v>
      </c>
      <c r="H57" s="3">
        <v>1370</v>
      </c>
      <c r="I57" s="5">
        <v>11.44</v>
      </c>
      <c r="J57" s="6">
        <v>0.6215970961887477</v>
      </c>
    </row>
    <row r="58" spans="1:10" x14ac:dyDescent="0.2">
      <c r="A58" s="7">
        <v>2022</v>
      </c>
      <c r="B58" s="7" t="s">
        <v>22</v>
      </c>
      <c r="C58" s="7" t="s">
        <v>80</v>
      </c>
      <c r="D58" s="8">
        <v>2213</v>
      </c>
      <c r="E58" s="9">
        <v>67.7</v>
      </c>
      <c r="F58" s="12">
        <v>-970</v>
      </c>
      <c r="G58" s="8">
        <v>4188</v>
      </c>
      <c r="H58" s="8">
        <v>974</v>
      </c>
      <c r="I58" s="10">
        <v>11.08</v>
      </c>
      <c r="J58" s="11">
        <v>0.44012652507907818</v>
      </c>
    </row>
    <row r="59" spans="1:10" x14ac:dyDescent="0.2">
      <c r="A59" s="2">
        <v>2022</v>
      </c>
      <c r="B59" s="2" t="s">
        <v>24</v>
      </c>
      <c r="C59" s="2" t="s">
        <v>80</v>
      </c>
      <c r="D59" s="3">
        <v>2178</v>
      </c>
      <c r="E59" s="4">
        <v>68.5</v>
      </c>
      <c r="F59" s="3">
        <v>557</v>
      </c>
      <c r="G59" s="3">
        <v>3875</v>
      </c>
      <c r="H59" s="3">
        <v>1534</v>
      </c>
      <c r="I59" s="5">
        <v>10.79</v>
      </c>
      <c r="J59" s="6">
        <v>0.70431588613406793</v>
      </c>
    </row>
    <row r="60" spans="1:10" x14ac:dyDescent="0.2">
      <c r="A60" s="7">
        <v>2022</v>
      </c>
      <c r="B60" s="7" t="s">
        <v>26</v>
      </c>
      <c r="C60" s="7" t="s">
        <v>80</v>
      </c>
      <c r="D60" s="8">
        <v>2276</v>
      </c>
      <c r="E60" s="9">
        <v>70.5</v>
      </c>
      <c r="F60" s="12">
        <v>-559</v>
      </c>
      <c r="G60" s="8">
        <v>4169</v>
      </c>
      <c r="H60" s="8">
        <v>1234</v>
      </c>
      <c r="I60" s="10">
        <v>10.82</v>
      </c>
      <c r="J60" s="11">
        <v>0.54217926186291743</v>
      </c>
    </row>
    <row r="61" spans="1:10" x14ac:dyDescent="0.2">
      <c r="A61" s="2">
        <v>2022</v>
      </c>
      <c r="B61" s="2" t="s">
        <v>19</v>
      </c>
      <c r="C61" s="2" t="s">
        <v>81</v>
      </c>
      <c r="D61" s="3">
        <v>1156</v>
      </c>
      <c r="E61" s="4">
        <v>40.299999999999997</v>
      </c>
      <c r="F61" s="3">
        <v>1597</v>
      </c>
      <c r="G61" s="3">
        <v>4283</v>
      </c>
      <c r="H61" s="3">
        <v>1370</v>
      </c>
      <c r="I61" s="5">
        <v>9.84</v>
      </c>
      <c r="J61" s="6">
        <v>1.185121107266436</v>
      </c>
    </row>
    <row r="62" spans="1:10" x14ac:dyDescent="0.2">
      <c r="A62" s="7">
        <v>2022</v>
      </c>
      <c r="B62" s="7" t="s">
        <v>22</v>
      </c>
      <c r="C62" s="7" t="s">
        <v>81</v>
      </c>
      <c r="D62" s="8">
        <v>1027</v>
      </c>
      <c r="E62" s="9">
        <v>40.1</v>
      </c>
      <c r="F62" s="12">
        <v>-970</v>
      </c>
      <c r="G62" s="8">
        <v>4188</v>
      </c>
      <c r="H62" s="8">
        <v>974</v>
      </c>
      <c r="I62" s="10">
        <v>9.6199999999999992</v>
      </c>
      <c r="J62" s="11">
        <v>0.94839337877312557</v>
      </c>
    </row>
    <row r="63" spans="1:10" x14ac:dyDescent="0.2">
      <c r="A63" s="2">
        <v>2022</v>
      </c>
      <c r="B63" s="2" t="s">
        <v>24</v>
      </c>
      <c r="C63" s="2" t="s">
        <v>81</v>
      </c>
      <c r="D63" s="3">
        <v>990</v>
      </c>
      <c r="E63" s="4">
        <v>40.5</v>
      </c>
      <c r="F63" s="3">
        <v>557</v>
      </c>
      <c r="G63" s="3">
        <v>3875</v>
      </c>
      <c r="H63" s="3">
        <v>1534</v>
      </c>
      <c r="I63" s="5">
        <v>9.43</v>
      </c>
      <c r="J63" s="6">
        <v>1.549494949494949</v>
      </c>
    </row>
    <row r="64" spans="1:10" x14ac:dyDescent="0.2">
      <c r="A64" s="7">
        <v>2022</v>
      </c>
      <c r="B64" s="7" t="s">
        <v>26</v>
      </c>
      <c r="C64" s="7" t="s">
        <v>81</v>
      </c>
      <c r="D64" s="8">
        <v>1047</v>
      </c>
      <c r="E64" s="9">
        <v>41.7</v>
      </c>
      <c r="F64" s="12">
        <v>-559</v>
      </c>
      <c r="G64" s="8">
        <v>4169</v>
      </c>
      <c r="H64" s="8">
        <v>1234</v>
      </c>
      <c r="I64" s="10">
        <v>9.7100000000000009</v>
      </c>
      <c r="J64" s="11">
        <v>1.1786055396370581</v>
      </c>
    </row>
    <row r="65" spans="1:10" x14ac:dyDescent="0.2">
      <c r="A65" s="2">
        <v>2022</v>
      </c>
      <c r="B65" s="2" t="s">
        <v>19</v>
      </c>
      <c r="C65" s="2" t="s">
        <v>82</v>
      </c>
      <c r="D65" s="3">
        <v>843</v>
      </c>
      <c r="E65" s="4">
        <v>32.700000000000003</v>
      </c>
      <c r="F65" s="3">
        <v>1597</v>
      </c>
      <c r="G65" s="3">
        <v>4283</v>
      </c>
      <c r="H65" s="3">
        <v>1370</v>
      </c>
      <c r="I65" s="5">
        <v>9.2100000000000009</v>
      </c>
      <c r="J65" s="6">
        <v>1.625148279952551</v>
      </c>
    </row>
    <row r="66" spans="1:10" x14ac:dyDescent="0.2">
      <c r="A66" s="7">
        <v>2022</v>
      </c>
      <c r="B66" s="7" t="s">
        <v>22</v>
      </c>
      <c r="C66" s="7" t="s">
        <v>82</v>
      </c>
      <c r="D66" s="8">
        <v>884</v>
      </c>
      <c r="E66" s="9">
        <v>34</v>
      </c>
      <c r="F66" s="12">
        <v>-970</v>
      </c>
      <c r="G66" s="8">
        <v>4188</v>
      </c>
      <c r="H66" s="8">
        <v>974</v>
      </c>
      <c r="I66" s="10">
        <v>9.48</v>
      </c>
      <c r="J66" s="11">
        <v>1.1018099547511311</v>
      </c>
    </row>
    <row r="67" spans="1:10" x14ac:dyDescent="0.2">
      <c r="A67" s="2">
        <v>2022</v>
      </c>
      <c r="B67" s="2" t="s">
        <v>24</v>
      </c>
      <c r="C67" s="2" t="s">
        <v>82</v>
      </c>
      <c r="D67" s="3">
        <v>898</v>
      </c>
      <c r="E67" s="4">
        <v>35.799999999999997</v>
      </c>
      <c r="F67" s="3">
        <v>557</v>
      </c>
      <c r="G67" s="3">
        <v>3875</v>
      </c>
      <c r="H67" s="3">
        <v>1534</v>
      </c>
      <c r="I67" s="5">
        <v>9.6300000000000008</v>
      </c>
      <c r="J67" s="6">
        <v>1.708240534521158</v>
      </c>
    </row>
    <row r="68" spans="1:10" x14ac:dyDescent="0.2">
      <c r="A68" s="7">
        <v>2022</v>
      </c>
      <c r="B68" s="7" t="s">
        <v>26</v>
      </c>
      <c r="C68" s="7" t="s">
        <v>82</v>
      </c>
      <c r="D68" s="8">
        <v>953</v>
      </c>
      <c r="E68" s="9">
        <v>38</v>
      </c>
      <c r="F68" s="12">
        <v>-559</v>
      </c>
      <c r="G68" s="8">
        <v>4169</v>
      </c>
      <c r="H68" s="8">
        <v>1234</v>
      </c>
      <c r="I68" s="10">
        <v>9.7899999999999991</v>
      </c>
      <c r="J68" s="11">
        <v>1.29485834207765</v>
      </c>
    </row>
    <row r="69" spans="1:10" x14ac:dyDescent="0.2">
      <c r="A69" s="2">
        <v>2023</v>
      </c>
      <c r="B69" s="2" t="s">
        <v>19</v>
      </c>
      <c r="C69" s="2" t="s">
        <v>79</v>
      </c>
      <c r="D69" s="3">
        <v>3610</v>
      </c>
      <c r="E69" s="4">
        <v>74.400000000000006</v>
      </c>
      <c r="F69" s="3">
        <v>1305</v>
      </c>
      <c r="G69" s="3">
        <v>3816</v>
      </c>
      <c r="H69" s="3">
        <v>1699</v>
      </c>
      <c r="I69" s="5">
        <v>16.190000000000001</v>
      </c>
      <c r="J69" s="6">
        <v>0.47063711911357342</v>
      </c>
    </row>
    <row r="70" spans="1:10" x14ac:dyDescent="0.2">
      <c r="A70" s="7">
        <v>2023</v>
      </c>
      <c r="B70" s="7" t="s">
        <v>22</v>
      </c>
      <c r="C70" s="7" t="s">
        <v>79</v>
      </c>
      <c r="D70" s="8">
        <v>3730</v>
      </c>
      <c r="E70" s="9">
        <v>75.599999999999994</v>
      </c>
      <c r="F70" s="8">
        <v>1488</v>
      </c>
      <c r="G70" s="8">
        <v>3739</v>
      </c>
      <c r="H70" s="8">
        <v>1827</v>
      </c>
      <c r="I70" s="10">
        <v>16.489999999999998</v>
      </c>
      <c r="J70" s="11">
        <v>0.48981233243967831</v>
      </c>
    </row>
    <row r="71" spans="1:10" x14ac:dyDescent="0.2">
      <c r="A71" s="2">
        <v>2023</v>
      </c>
      <c r="B71" s="2" t="s">
        <v>24</v>
      </c>
      <c r="C71" s="2" t="s">
        <v>79</v>
      </c>
      <c r="D71" s="3">
        <v>3729</v>
      </c>
      <c r="E71" s="4">
        <v>76.099999999999994</v>
      </c>
      <c r="F71" s="3">
        <v>1677</v>
      </c>
      <c r="G71" s="3">
        <v>3720</v>
      </c>
      <c r="H71" s="3">
        <v>1916</v>
      </c>
      <c r="I71" s="5">
        <v>16.27</v>
      </c>
      <c r="J71" s="6">
        <v>0.51381067310270845</v>
      </c>
    </row>
    <row r="72" spans="1:10" x14ac:dyDescent="0.2">
      <c r="A72" s="7">
        <v>2023</v>
      </c>
      <c r="B72" s="7" t="s">
        <v>26</v>
      </c>
      <c r="C72" s="7" t="s">
        <v>79</v>
      </c>
      <c r="D72" s="8">
        <v>3986</v>
      </c>
      <c r="E72" s="9">
        <v>80.099999999999994</v>
      </c>
      <c r="F72" s="8">
        <v>938</v>
      </c>
      <c r="G72" s="8">
        <v>5149</v>
      </c>
      <c r="H72" s="8">
        <v>1496</v>
      </c>
      <c r="I72" s="10">
        <v>17.170000000000002</v>
      </c>
      <c r="J72" s="11">
        <v>0.37531359759157051</v>
      </c>
    </row>
    <row r="73" spans="1:10" x14ac:dyDescent="0.2">
      <c r="A73" s="2">
        <v>2023</v>
      </c>
      <c r="B73" s="2" t="s">
        <v>19</v>
      </c>
      <c r="C73" s="2" t="s">
        <v>80</v>
      </c>
      <c r="D73" s="3">
        <v>2361</v>
      </c>
      <c r="E73" s="4">
        <v>72.400000000000006</v>
      </c>
      <c r="F73" s="3">
        <v>1305</v>
      </c>
      <c r="G73" s="3">
        <v>3816</v>
      </c>
      <c r="H73" s="3">
        <v>1699</v>
      </c>
      <c r="I73" s="5">
        <v>11.16</v>
      </c>
      <c r="J73" s="6">
        <v>0.71961033460398138</v>
      </c>
    </row>
    <row r="74" spans="1:10" x14ac:dyDescent="0.2">
      <c r="A74" s="7">
        <v>2023</v>
      </c>
      <c r="B74" s="7" t="s">
        <v>22</v>
      </c>
      <c r="C74" s="7" t="s">
        <v>80</v>
      </c>
      <c r="D74" s="8">
        <v>2566</v>
      </c>
      <c r="E74" s="9">
        <v>75.599999999999994</v>
      </c>
      <c r="F74" s="8">
        <v>1488</v>
      </c>
      <c r="G74" s="8">
        <v>3739</v>
      </c>
      <c r="H74" s="8">
        <v>1827</v>
      </c>
      <c r="I74" s="10">
        <v>11.55</v>
      </c>
      <c r="J74" s="11">
        <v>0.71200311769290725</v>
      </c>
    </row>
    <row r="75" spans="1:10" x14ac:dyDescent="0.2">
      <c r="A75" s="2">
        <v>2023</v>
      </c>
      <c r="B75" s="2" t="s">
        <v>24</v>
      </c>
      <c r="C75" s="2" t="s">
        <v>80</v>
      </c>
      <c r="D75" s="3">
        <v>2673</v>
      </c>
      <c r="E75" s="4">
        <v>77</v>
      </c>
      <c r="F75" s="3">
        <v>1677</v>
      </c>
      <c r="G75" s="3">
        <v>3720</v>
      </c>
      <c r="H75" s="3">
        <v>1916</v>
      </c>
      <c r="I75" s="5">
        <v>11.85</v>
      </c>
      <c r="J75" s="6">
        <v>0.71679760568649453</v>
      </c>
    </row>
    <row r="76" spans="1:10" x14ac:dyDescent="0.2">
      <c r="A76" s="7">
        <v>2023</v>
      </c>
      <c r="B76" s="7" t="s">
        <v>26</v>
      </c>
      <c r="C76" s="7" t="s">
        <v>80</v>
      </c>
      <c r="D76" s="8">
        <v>2987</v>
      </c>
      <c r="E76" s="9">
        <v>84.6</v>
      </c>
      <c r="F76" s="8">
        <v>938</v>
      </c>
      <c r="G76" s="8">
        <v>5149</v>
      </c>
      <c r="H76" s="8">
        <v>1496</v>
      </c>
      <c r="I76" s="10">
        <v>12.39</v>
      </c>
      <c r="J76" s="11">
        <v>0.50083696016069634</v>
      </c>
    </row>
    <row r="77" spans="1:10" x14ac:dyDescent="0.2">
      <c r="A77" s="2">
        <v>2023</v>
      </c>
      <c r="B77" s="2" t="s">
        <v>19</v>
      </c>
      <c r="C77" s="2" t="s">
        <v>81</v>
      </c>
      <c r="D77" s="3">
        <v>1124</v>
      </c>
      <c r="E77" s="4">
        <v>42.5</v>
      </c>
      <c r="F77" s="3">
        <v>1305</v>
      </c>
      <c r="G77" s="3">
        <v>3816</v>
      </c>
      <c r="H77" s="3">
        <v>1699</v>
      </c>
      <c r="I77" s="5">
        <v>9.2200000000000006</v>
      </c>
      <c r="J77" s="6">
        <v>1.5115658362989319</v>
      </c>
    </row>
    <row r="78" spans="1:10" x14ac:dyDescent="0.2">
      <c r="A78" s="7">
        <v>2023</v>
      </c>
      <c r="B78" s="7" t="s">
        <v>22</v>
      </c>
      <c r="C78" s="7" t="s">
        <v>81</v>
      </c>
      <c r="D78" s="8">
        <v>1280</v>
      </c>
      <c r="E78" s="9">
        <v>43.6</v>
      </c>
      <c r="F78" s="8">
        <v>1488</v>
      </c>
      <c r="G78" s="8">
        <v>3739</v>
      </c>
      <c r="H78" s="8">
        <v>1827</v>
      </c>
      <c r="I78" s="10">
        <v>9.61</v>
      </c>
      <c r="J78" s="11">
        <v>1.4273437499999999</v>
      </c>
    </row>
    <row r="79" spans="1:10" x14ac:dyDescent="0.2">
      <c r="A79" s="2">
        <v>2023</v>
      </c>
      <c r="B79" s="2" t="s">
        <v>24</v>
      </c>
      <c r="C79" s="2" t="s">
        <v>81</v>
      </c>
      <c r="D79" s="3">
        <v>1321</v>
      </c>
      <c r="E79" s="4">
        <v>44.3</v>
      </c>
      <c r="F79" s="3">
        <v>1677</v>
      </c>
      <c r="G79" s="3">
        <v>3720</v>
      </c>
      <c r="H79" s="3">
        <v>1916</v>
      </c>
      <c r="I79" s="5">
        <v>9.8800000000000008</v>
      </c>
      <c r="J79" s="6">
        <v>1.450416351249054</v>
      </c>
    </row>
    <row r="80" spans="1:10" x14ac:dyDescent="0.2">
      <c r="A80" s="7">
        <v>2023</v>
      </c>
      <c r="B80" s="7" t="s">
        <v>26</v>
      </c>
      <c r="C80" s="7" t="s">
        <v>81</v>
      </c>
      <c r="D80" s="8">
        <v>1524</v>
      </c>
      <c r="E80" s="9">
        <v>48.5</v>
      </c>
      <c r="F80" s="8">
        <v>938</v>
      </c>
      <c r="G80" s="8">
        <v>5149</v>
      </c>
      <c r="H80" s="8">
        <v>1496</v>
      </c>
      <c r="I80" s="10">
        <v>10.34</v>
      </c>
      <c r="J80" s="11">
        <v>0.98162729658792647</v>
      </c>
    </row>
    <row r="81" spans="1:10" x14ac:dyDescent="0.2">
      <c r="A81" s="2">
        <v>2023</v>
      </c>
      <c r="B81" s="2" t="s">
        <v>19</v>
      </c>
      <c r="C81" s="2" t="s">
        <v>82</v>
      </c>
      <c r="D81" s="3">
        <v>982</v>
      </c>
      <c r="E81" s="4">
        <v>40.299999999999997</v>
      </c>
      <c r="F81" s="3">
        <v>1305</v>
      </c>
      <c r="G81" s="3">
        <v>3816</v>
      </c>
      <c r="H81" s="3">
        <v>1699</v>
      </c>
      <c r="I81" s="5">
        <v>9.57</v>
      </c>
      <c r="J81" s="6">
        <v>1.730142566191446</v>
      </c>
    </row>
    <row r="82" spans="1:10" x14ac:dyDescent="0.2">
      <c r="A82" s="7">
        <v>2023</v>
      </c>
      <c r="B82" s="7" t="s">
        <v>22</v>
      </c>
      <c r="C82" s="7" t="s">
        <v>82</v>
      </c>
      <c r="D82" s="8">
        <v>1028</v>
      </c>
      <c r="E82" s="9">
        <v>43</v>
      </c>
      <c r="F82" s="8">
        <v>1488</v>
      </c>
      <c r="G82" s="8">
        <v>3739</v>
      </c>
      <c r="H82" s="8">
        <v>1827</v>
      </c>
      <c r="I82" s="10">
        <v>9.8800000000000008</v>
      </c>
      <c r="J82" s="11">
        <v>1.777237354085603</v>
      </c>
    </row>
    <row r="83" spans="1:10" x14ac:dyDescent="0.2">
      <c r="A83" s="2">
        <v>2023</v>
      </c>
      <c r="B83" s="2" t="s">
        <v>24</v>
      </c>
      <c r="C83" s="2" t="s">
        <v>82</v>
      </c>
      <c r="D83" s="3">
        <v>1073</v>
      </c>
      <c r="E83" s="4">
        <v>46.5</v>
      </c>
      <c r="F83" s="3">
        <v>1677</v>
      </c>
      <c r="G83" s="3">
        <v>3720</v>
      </c>
      <c r="H83" s="3">
        <v>1916</v>
      </c>
      <c r="I83" s="5">
        <v>10.210000000000001</v>
      </c>
      <c r="J83" s="6">
        <v>1.7856477166821989</v>
      </c>
    </row>
    <row r="84" spans="1:10" x14ac:dyDescent="0.2">
      <c r="A84" s="7">
        <v>2023</v>
      </c>
      <c r="B84" s="7" t="s">
        <v>26</v>
      </c>
      <c r="C84" s="7" t="s">
        <v>82</v>
      </c>
      <c r="D84" s="8">
        <v>1241</v>
      </c>
      <c r="E84" s="9">
        <v>52.4</v>
      </c>
      <c r="F84" s="8">
        <v>938</v>
      </c>
      <c r="G84" s="8">
        <v>5149</v>
      </c>
      <c r="H84" s="8">
        <v>1496</v>
      </c>
      <c r="I84" s="10">
        <v>10.74</v>
      </c>
      <c r="J84" s="11">
        <v>1.205479452054794</v>
      </c>
    </row>
    <row r="85" spans="1:10" x14ac:dyDescent="0.2">
      <c r="A85" s="2">
        <v>2024</v>
      </c>
      <c r="B85" s="2" t="s">
        <v>19</v>
      </c>
      <c r="C85" s="2" t="s">
        <v>79</v>
      </c>
      <c r="D85" s="3">
        <v>4281</v>
      </c>
      <c r="E85" s="4">
        <v>84.8</v>
      </c>
      <c r="F85" s="3">
        <v>2332</v>
      </c>
      <c r="G85" s="3">
        <v>4428</v>
      </c>
      <c r="H85" s="3">
        <v>2633</v>
      </c>
      <c r="I85" s="5">
        <v>17.3</v>
      </c>
      <c r="J85" s="6">
        <v>0.61504321420228913</v>
      </c>
    </row>
    <row r="86" spans="1:10" x14ac:dyDescent="0.2">
      <c r="A86" s="7">
        <v>2024</v>
      </c>
      <c r="B86" s="7" t="s">
        <v>22</v>
      </c>
      <c r="C86" s="7" t="s">
        <v>79</v>
      </c>
      <c r="D86" s="8">
        <v>4326</v>
      </c>
      <c r="E86" s="9">
        <v>85.7</v>
      </c>
      <c r="F86" s="8">
        <v>2147</v>
      </c>
      <c r="G86" s="8">
        <v>4505</v>
      </c>
      <c r="H86" s="8">
        <v>2603</v>
      </c>
      <c r="I86" s="10">
        <v>17.170000000000002</v>
      </c>
      <c r="J86" s="11">
        <v>0.60171058714748038</v>
      </c>
    </row>
    <row r="87" spans="1:10" x14ac:dyDescent="0.2">
      <c r="A87" s="2">
        <v>2024</v>
      </c>
      <c r="B87" s="2" t="s">
        <v>24</v>
      </c>
      <c r="C87" s="2" t="s">
        <v>79</v>
      </c>
      <c r="D87" s="3">
        <v>4529</v>
      </c>
      <c r="E87" s="4">
        <v>87.7</v>
      </c>
      <c r="F87" s="3">
        <v>2364</v>
      </c>
      <c r="G87" s="3">
        <v>4614</v>
      </c>
      <c r="H87" s="3">
        <v>2909</v>
      </c>
      <c r="I87" s="5">
        <v>17.059999999999999</v>
      </c>
      <c r="J87" s="6">
        <v>0.64230514462353716</v>
      </c>
    </row>
    <row r="88" spans="1:10" x14ac:dyDescent="0.2">
      <c r="A88" s="7">
        <v>2024</v>
      </c>
      <c r="B88" s="7" t="s">
        <v>26</v>
      </c>
      <c r="C88" s="7" t="s">
        <v>79</v>
      </c>
      <c r="D88" s="8">
        <v>4811</v>
      </c>
      <c r="E88" s="9">
        <v>91.5</v>
      </c>
      <c r="F88" s="8">
        <v>1869</v>
      </c>
      <c r="G88" s="8">
        <v>4985</v>
      </c>
      <c r="H88" s="8">
        <v>2274</v>
      </c>
      <c r="I88" s="10">
        <v>17.27</v>
      </c>
      <c r="J88" s="11">
        <v>0.47266680523799631</v>
      </c>
    </row>
    <row r="89" spans="1:10" x14ac:dyDescent="0.2">
      <c r="A89" s="2">
        <v>2024</v>
      </c>
      <c r="B89" s="2" t="s">
        <v>19</v>
      </c>
      <c r="C89" s="2" t="s">
        <v>80</v>
      </c>
      <c r="D89" s="3">
        <v>3282</v>
      </c>
      <c r="E89" s="4">
        <v>88.8</v>
      </c>
      <c r="F89" s="3">
        <v>2332</v>
      </c>
      <c r="G89" s="3">
        <v>4428</v>
      </c>
      <c r="H89" s="3">
        <v>2633</v>
      </c>
      <c r="I89" s="5">
        <v>12.86</v>
      </c>
      <c r="J89" s="6">
        <v>0.80225472273004261</v>
      </c>
    </row>
    <row r="90" spans="1:10" x14ac:dyDescent="0.2">
      <c r="A90" s="7">
        <v>2024</v>
      </c>
      <c r="B90" s="7" t="s">
        <v>22</v>
      </c>
      <c r="C90" s="7" t="s">
        <v>80</v>
      </c>
      <c r="D90" s="8">
        <v>3400</v>
      </c>
      <c r="E90" s="9">
        <v>91.1</v>
      </c>
      <c r="F90" s="8">
        <v>2147</v>
      </c>
      <c r="G90" s="8">
        <v>4505</v>
      </c>
      <c r="H90" s="8">
        <v>2603</v>
      </c>
      <c r="I90" s="10">
        <v>12.86</v>
      </c>
      <c r="J90" s="11">
        <v>0.76558823529411768</v>
      </c>
    </row>
    <row r="91" spans="1:10" x14ac:dyDescent="0.2">
      <c r="A91" s="2">
        <v>2024</v>
      </c>
      <c r="B91" s="2" t="s">
        <v>24</v>
      </c>
      <c r="C91" s="2" t="s">
        <v>80</v>
      </c>
      <c r="D91" s="3">
        <v>3567</v>
      </c>
      <c r="E91" s="4">
        <v>94.2</v>
      </c>
      <c r="F91" s="3">
        <v>2364</v>
      </c>
      <c r="G91" s="3">
        <v>4614</v>
      </c>
      <c r="H91" s="3">
        <v>2909</v>
      </c>
      <c r="I91" s="5">
        <v>13.01</v>
      </c>
      <c r="J91" s="6">
        <v>0.81553125876086352</v>
      </c>
    </row>
    <row r="92" spans="1:10" x14ac:dyDescent="0.2">
      <c r="A92" s="7">
        <v>2024</v>
      </c>
      <c r="B92" s="7" t="s">
        <v>26</v>
      </c>
      <c r="C92" s="7" t="s">
        <v>80</v>
      </c>
      <c r="D92" s="8">
        <v>3782</v>
      </c>
      <c r="E92" s="9">
        <v>99.3</v>
      </c>
      <c r="F92" s="8">
        <v>1869</v>
      </c>
      <c r="G92" s="8">
        <v>4985</v>
      </c>
      <c r="H92" s="8">
        <v>2274</v>
      </c>
      <c r="I92" s="10">
        <v>13.3</v>
      </c>
      <c r="J92" s="11">
        <v>0.60126916975145428</v>
      </c>
    </row>
    <row r="93" spans="1:10" x14ac:dyDescent="0.2">
      <c r="A93" s="2">
        <v>2024</v>
      </c>
      <c r="B93" s="2" t="s">
        <v>19</v>
      </c>
      <c r="C93" s="2" t="s">
        <v>81</v>
      </c>
      <c r="D93" s="3">
        <v>1701</v>
      </c>
      <c r="E93" s="4">
        <v>50.1</v>
      </c>
      <c r="F93" s="3">
        <v>2332</v>
      </c>
      <c r="G93" s="3">
        <v>4428</v>
      </c>
      <c r="H93" s="3">
        <v>2633</v>
      </c>
      <c r="I93" s="5">
        <v>10.48</v>
      </c>
      <c r="J93" s="6">
        <v>1.5479129923574371</v>
      </c>
    </row>
    <row r="94" spans="1:10" x14ac:dyDescent="0.2">
      <c r="A94" s="7">
        <v>2024</v>
      </c>
      <c r="B94" s="7" t="s">
        <v>22</v>
      </c>
      <c r="C94" s="7" t="s">
        <v>81</v>
      </c>
      <c r="D94" s="8">
        <v>1786</v>
      </c>
      <c r="E94" s="9">
        <v>52.9</v>
      </c>
      <c r="F94" s="8">
        <v>2147</v>
      </c>
      <c r="G94" s="8">
        <v>4505</v>
      </c>
      <c r="H94" s="8">
        <v>2603</v>
      </c>
      <c r="I94" s="10">
        <v>10.72</v>
      </c>
      <c r="J94" s="11">
        <v>1.457446808510638</v>
      </c>
    </row>
    <row r="95" spans="1:10" x14ac:dyDescent="0.2">
      <c r="A95" s="2">
        <v>2024</v>
      </c>
      <c r="B95" s="2" t="s">
        <v>24</v>
      </c>
      <c r="C95" s="2" t="s">
        <v>81</v>
      </c>
      <c r="D95" s="3">
        <v>1897</v>
      </c>
      <c r="E95" s="4">
        <v>55.8</v>
      </c>
      <c r="F95" s="3">
        <v>2364</v>
      </c>
      <c r="G95" s="3">
        <v>4614</v>
      </c>
      <c r="H95" s="3">
        <v>2909</v>
      </c>
      <c r="I95" s="5">
        <v>11.01</v>
      </c>
      <c r="J95" s="6">
        <v>1.533473906167633</v>
      </c>
    </row>
    <row r="96" spans="1:10" x14ac:dyDescent="0.2">
      <c r="A96" s="7">
        <v>2024</v>
      </c>
      <c r="B96" s="7" t="s">
        <v>26</v>
      </c>
      <c r="C96" s="7" t="s">
        <v>81</v>
      </c>
      <c r="D96" s="8">
        <v>2032</v>
      </c>
      <c r="E96" s="9">
        <v>60.5</v>
      </c>
      <c r="F96" s="8">
        <v>1869</v>
      </c>
      <c r="G96" s="8">
        <v>4985</v>
      </c>
      <c r="H96" s="8">
        <v>2274</v>
      </c>
      <c r="I96" s="10">
        <v>11.34</v>
      </c>
      <c r="J96" s="11">
        <v>1.1190944881889759</v>
      </c>
    </row>
    <row r="97" spans="1:10" x14ac:dyDescent="0.2">
      <c r="A97" s="2">
        <v>2024</v>
      </c>
      <c r="B97" s="2" t="s">
        <v>19</v>
      </c>
      <c r="C97" s="2" t="s">
        <v>82</v>
      </c>
      <c r="D97" s="3">
        <v>1352</v>
      </c>
      <c r="E97" s="4">
        <v>57.7</v>
      </c>
      <c r="F97" s="3">
        <v>2332</v>
      </c>
      <c r="G97" s="3">
        <v>4428</v>
      </c>
      <c r="H97" s="3">
        <v>2633</v>
      </c>
      <c r="I97" s="5">
        <v>9.8800000000000008</v>
      </c>
      <c r="J97" s="6">
        <v>1.9474852071005919</v>
      </c>
    </row>
    <row r="98" spans="1:10" x14ac:dyDescent="0.2">
      <c r="A98" s="7">
        <v>2024</v>
      </c>
      <c r="B98" s="7" t="s">
        <v>22</v>
      </c>
      <c r="C98" s="7" t="s">
        <v>82</v>
      </c>
      <c r="D98" s="8">
        <v>1446</v>
      </c>
      <c r="E98" s="9">
        <v>61</v>
      </c>
      <c r="F98" s="8">
        <v>2147</v>
      </c>
      <c r="G98" s="8">
        <v>4505</v>
      </c>
      <c r="H98" s="8">
        <v>2603</v>
      </c>
      <c r="I98" s="10">
        <v>10.14</v>
      </c>
      <c r="J98" s="11">
        <v>1.800138312586445</v>
      </c>
    </row>
    <row r="99" spans="1:10" x14ac:dyDescent="0.2">
      <c r="A99" s="2">
        <v>2024</v>
      </c>
      <c r="B99" s="2" t="s">
        <v>24</v>
      </c>
      <c r="C99" s="2" t="s">
        <v>82</v>
      </c>
      <c r="D99" s="3">
        <v>1558</v>
      </c>
      <c r="E99" s="4">
        <v>65</v>
      </c>
      <c r="F99" s="3">
        <v>2364</v>
      </c>
      <c r="G99" s="3">
        <v>4614</v>
      </c>
      <c r="H99" s="3">
        <v>2909</v>
      </c>
      <c r="I99" s="5">
        <v>10.47</v>
      </c>
      <c r="J99" s="6">
        <v>1.867137355584082</v>
      </c>
    </row>
    <row r="100" spans="1:10" x14ac:dyDescent="0.2">
      <c r="A100" s="7">
        <v>2024</v>
      </c>
      <c r="B100" s="7" t="s">
        <v>26</v>
      </c>
      <c r="C100" s="7" t="s">
        <v>82</v>
      </c>
      <c r="D100" s="8">
        <v>1678</v>
      </c>
      <c r="E100" s="9">
        <v>72.599999999999994</v>
      </c>
      <c r="F100" s="8">
        <v>1869</v>
      </c>
      <c r="G100" s="8">
        <v>4985</v>
      </c>
      <c r="H100" s="8">
        <v>2274</v>
      </c>
      <c r="I100" s="10">
        <v>10.82</v>
      </c>
      <c r="J100" s="11">
        <v>1.355184743742551</v>
      </c>
    </row>
  </sheetData>
  <mergeCells count="1">
    <mergeCell ref="A1:W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E650DC-0988-40BA-B164-59D1240C8B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Dashboard</vt:lpstr>
      <vt:lpstr>Annual KPIs</vt:lpstr>
      <vt:lpstr>Regional Breakdown</vt:lpstr>
      <vt:lpstr>Quarterly Totals</vt:lpstr>
      <vt:lpstr>Dataset</vt:lpstr>
      <vt:lpstr>Raw Data</vt:lpstr>
      <vt:lpstr>NF_APAC_Rev</vt:lpstr>
      <vt:lpstr>NF_APAC_Subs</vt:lpstr>
      <vt:lpstr>NF_Content_Cost</vt:lpstr>
      <vt:lpstr>NF_EMEA_Rev</vt:lpstr>
      <vt:lpstr>NF_EMEA_Subs</vt:lpstr>
      <vt:lpstr>NF_LATAM_Rev</vt:lpstr>
      <vt:lpstr>NF_LATAM_Subs</vt:lpstr>
      <vt:lpstr>NF_Net_Profit</vt:lpstr>
      <vt:lpstr>NF_Op_Income</vt:lpstr>
      <vt:lpstr>NF_Op_Margin</vt:lpstr>
      <vt:lpstr>NF_Qtr_Margin</vt:lpstr>
      <vt:lpstr>NF_Qtr_OI</vt:lpstr>
      <vt:lpstr>NF_Qtr_Profit</vt:lpstr>
      <vt:lpstr>NF_Qtr_Rev</vt:lpstr>
      <vt:lpstr>NF_Qtr_Subs</vt:lpstr>
      <vt:lpstr>NF_Qtrs</vt:lpstr>
      <vt:lpstr>NF_Reg_Years</vt:lpstr>
      <vt:lpstr>NF_Rev_Growth</vt:lpstr>
      <vt:lpstr>NF_Total_Rev</vt:lpstr>
      <vt:lpstr>NF_Total_Subs</vt:lpstr>
      <vt:lpstr>NF_UCAN_Rev</vt:lpstr>
      <vt:lpstr>NF_UCAN_Subs</vt:lpstr>
      <vt:lpstr>NF_Years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Shubham Kumar</cp:lastModifiedBy>
  <cp:revision/>
  <dcterms:created xsi:type="dcterms:W3CDTF">2026-04-10T05:52:06Z</dcterms:created>
  <dcterms:modified xsi:type="dcterms:W3CDTF">2026-04-14T11:45:26Z</dcterms:modified>
  <cp:category/>
  <cp:contentStatus/>
</cp:coreProperties>
</file>